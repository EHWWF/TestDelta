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IPMS\trunk\dev\application\view\src\com\bayer\ipms\view\excel\"/>
    </mc:Choice>
  </mc:AlternateContent>
  <bookViews>
    <workbookView xWindow="0" yWindow="45" windowWidth="21720" windowHeight="10995"/>
  </bookViews>
  <sheets>
    <sheet name="LE data" sheetId="1" r:id="rId1"/>
    <sheet name="_ADFDI_Parameters" sheetId="4" state="hidden" r:id="rId2"/>
    <sheet name="_ADFDI_Metadata" sheetId="5" state="hidden" r:id="rId3"/>
  </sheets>
  <definedNames>
    <definedName name="_xlnm._FilterDatabase" localSheetId="0" hidden="1">'LE data'!$B$4:$AB$4</definedName>
    <definedName name="_r">'LE data'!$W$4:$W$5</definedName>
    <definedName name="_s">'LE data'!$X$4:$X$5</definedName>
    <definedName name="_z">'LE data'!$AH$4:$AH$5</definedName>
    <definedName name="a">'LE data'!$Y$4:$Y$5</definedName>
    <definedName name="aa">'LE data'!$AI$4:$AI$5</definedName>
    <definedName name="aq">'LE data'!$AY$4:$AY$5</definedName>
    <definedName name="ar">'LE data'!$AZ$4:$AZ$5</definedName>
    <definedName name="as">'LE data'!$BA$4:$BA$5</definedName>
    <definedName name="at">'LE data'!$BB$4:$BB$5</definedName>
    <definedName name="au">'LE data'!$BC$4:$BC$5</definedName>
    <definedName name="av">'LE data'!$BD$4:$BD$5</definedName>
    <definedName name="aw">'LE data'!$BE$4:$BE$5</definedName>
    <definedName name="b">'LE data'!$AG$4:$AG$5</definedName>
    <definedName name="d">'LE data'!$AB$4:$AB$5</definedName>
    <definedName name="e">'LE data'!$AJ$4:$AJ$5</definedName>
    <definedName name="y">'LE data'!$AF$4:$AF$5</definedName>
    <definedName name="n">'LE data'!$S$4:$S$5</definedName>
    <definedName name="o">'LE data'!$T$4:$T$5</definedName>
    <definedName name="p">'LE data'!$U$4:$U$5</definedName>
    <definedName name="q">'LE data'!$V$4:$V$5</definedName>
    <definedName name="t">'LE data'!$Z$4:$Z$5</definedName>
    <definedName name="TAB1464475419">'LE data'!$AI$2:$AL$3</definedName>
    <definedName name="TAB340665983">'LE data'!$B$4:$BE$5</definedName>
    <definedName name="u">'LE data'!$AA$4:$AA$5</definedName>
    <definedName name="v">'LE data'!$AC$4:$AC$5</definedName>
    <definedName name="w">'LE data'!$AD$4:$AD$5</definedName>
    <definedName name="x">'LE data'!$AE$4:$AE$5</definedName>
  </definedNames>
  <calcPr calcId="152511"/>
</workbook>
</file>

<file path=xl/calcChain.xml><?xml version="1.0" encoding="utf-8"?>
<calcChain xmlns="http://schemas.openxmlformats.org/spreadsheetml/2006/main">
  <c r="BF4" i="5" l="1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11" i="5" l="1"/>
  <c r="B10" i="5"/>
  <c r="B9" i="5" l="1"/>
  <c r="B8" i="5"/>
  <c r="B7" i="5"/>
  <c r="B6" i="5"/>
  <c r="C4" i="5"/>
  <c r="B3" i="5"/>
</calcChain>
</file>

<file path=xl/sharedStrings.xml><?xml version="1.0" encoding="utf-8"?>
<sst xmlns="http://schemas.openxmlformats.org/spreadsheetml/2006/main" count="134" uniqueCount="123">
  <si>
    <t>11.1.1.7.0</t>
  </si>
  <si>
    <t>Workbook</t>
  </si>
  <si>
    <t>Worksheet</t>
  </si>
  <si>
    <t>Table</t>
  </si>
  <si>
    <t>ComponentXml</t>
  </si>
  <si>
    <t>CellOutputText</t>
  </si>
  <si>
    <t>CellLabel</t>
  </si>
  <si>
    <t>&lt;CellLabel ComponentID="LBL1015632059"&gt;&lt;Position Row="2" Column="B" /&gt;&lt;StyleName&gt;&lt;Value&gt;IPMS_Label&lt;/Value&gt;&lt;/StyleName&gt;&lt;Label&gt;&lt;Value&gt;#{bindings.ProcessName.label}&lt;/Value&gt;&lt;/Label&gt;&lt;/CellLabel&gt;</t>
  </si>
  <si>
    <t>&lt;CellLabel ComponentID="LBL1795100163"&gt;&lt;Position Row="3" Column="B" /&gt;&lt;StyleName&gt;&lt;Value&gt;IPMS_Label&lt;/Value&gt;&lt;/StyleName&gt;&lt;Label&gt;&lt;Value&gt;#{bindings.ProcessComments.label}&lt;/Value&gt;&lt;/Label&gt;&lt;/CellLabel&gt;</t>
  </si>
  <si>
    <t>Reserved</t>
  </si>
  <si>
    <t>&lt;CellOutputText ComponentID="OTX1777933347"&gt;&lt;Position Row="2" Column="C" /&gt;&lt;StyleName&gt;&lt;Value&gt;IPMS_OutputText&lt;/Value&gt;&lt;/StyleName&gt;&lt;OutputText&gt;&lt;DoubleClickActionSet&gt;&lt;Alert /&gt;&lt;ActionOptions /&gt;&lt;Status /&gt;&lt;/DoubleClickActionSet&gt;&lt;Value&gt;&lt;Value&gt;#{bindings.ProcessName}&lt;/Value&gt;&lt;/Value&gt;&lt;/OutputText&gt;&lt;/CellOutputText&gt;</t>
  </si>
  <si>
    <t>&lt;CellOutputText ComponentID="OTX150728042"&gt;&lt;Position Row="3" Column="C" /&gt;&lt;StyleName&gt;&lt;Value&gt;IPMS_OutputText&lt;/Value&gt;&lt;/StyleName&gt;&lt;OutputText&gt;&lt;DoubleClickActionSet&gt;&lt;Alert /&gt;&lt;ActionOptions /&gt;&lt;Status /&gt;&lt;/DoubleClickActionSet&gt;&lt;Value&gt;&lt;Value&gt;#{bindings.ProcessComments}&lt;/Value&gt;&lt;/Value&gt;&lt;/OutputText&gt;&lt;/CellOutputText&gt;</t>
  </si>
  <si>
    <t>[ADFDIPARAM_BEG]DT              http://127.0.0.1:7101/ipms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</si>
  <si>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#{bindings.EstimateView.hints.DevelopmentPhaseName.label}</t>
  </si>
  <si>
    <t>#{row.bindings.DevelopmentPhaseName.inputValue}</t>
  </si>
  <si>
    <t>#{bindings.EstimateView.hints.ProjectSbeName.label}</t>
  </si>
  <si>
    <t>#{row.bindings.ProjectSbeName.inputValue}</t>
  </si>
  <si>
    <t>#{bindings.EstimateView.hints.ProgramName.label}</t>
  </si>
  <si>
    <t>#{row.bindings.ProgramName.inputValue}</t>
  </si>
  <si>
    <t>#{bindings.EstimateView.hints.ProjectCode.label}</t>
  </si>
  <si>
    <t>#{row.bindings.ProjectCode.inputValue}</t>
  </si>
  <si>
    <t>#{bindings.EstimateView.hints.ProjectName.label}</t>
  </si>
  <si>
    <t>#{row.bindings.ProjectName.inputValue}</t>
  </si>
  <si>
    <t>#{bindings.EstimateView.hints.StudyStatusName.label}</t>
  </si>
  <si>
    <t>#{row.bindings.StudyStatusName.inputValue}</t>
  </si>
  <si>
    <t>#{bindings.EstimateView.hints.StudyPhase.label}</t>
  </si>
  <si>
    <t>#{row.bindings.StudyPhase.inputValue}</t>
  </si>
  <si>
    <t>#{bindings.EstimateView.hints.StudyId.label}</t>
  </si>
  <si>
    <t>#{row.bindings.StudyId.inputValue}</t>
  </si>
  <si>
    <t>#{bindings.EstimateView.hints.StudyName.label}</t>
  </si>
  <si>
    <t>#{row.bindings.StudyName.inputValue}</t>
  </si>
  <si>
    <t>#{bindings.EstimateView.hints.StudyFpfv.label}</t>
  </si>
  <si>
    <t>#{row.bindings.StudyFpfv.inputValue}</t>
  </si>
  <si>
    <t>#{bindings.EstimateView.hints.StudyLplv.label}</t>
  </si>
  <si>
    <t>#{row.bindings.StudyLplv.inputValue}</t>
  </si>
  <si>
    <t>#{bindings.EstimateView.hints.FunctionName.label}</t>
  </si>
  <si>
    <t>#{row.bindings.FunctionName.inputValue}</t>
  </si>
  <si>
    <t>Budget (d, #{bindings.ProcessYear})</t>
  </si>
  <si>
    <t>=IF("#{row.bindings.GroupingType.inputValue}"&lt;&gt;"",
"=SUMIFS(n,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"#{row.bindings.CurrBudgetDeterministic.inputValue}")</t>
  </si>
  <si>
    <t>Budget (p, #{bindings.ProcessYear})</t>
  </si>
  <si>
    <t>=IF("#{row.bindings.GroupingType.inputValue}"&lt;&gt;"",
"=SUMIFS(o,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"#{row.bindings.CurrBudgetProbabilistic.inputValue}")</t>
  </si>
  <si>
    <t>=IF("#{row.bindings.GroupingType.inputValue}"&lt;&gt;"",
"=SUMIFS(p,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"#{row.bindings.CurrForecastDeterministic.inputValue}")</t>
  </si>
  <si>
    <t>=IF("#{row.bindings.GroupingType.inputValue}"&lt;&gt;"",
"=SUMIFS(q,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"#{row.bindings.CurrForecastProbabilistic.inputValue}")</t>
  </si>
  <si>
    <t>=concatenate("Budget (d, ",#{bindings.ProcessYear}+1,")")</t>
  </si>
  <si>
    <t>=concatenate("Budget (p, ",#{bindings.ProcessYear}+1,")")</t>
  </si>
  <si>
    <t>Actuals (#{bindings.ProcessYear})</t>
  </si>
  <si>
    <t>RR (#{bindings.ProcessYear})</t>
  </si>
  <si>
    <t>#{bindings.ProcessYear} LE (d)</t>
  </si>
  <si>
    <t>#{bindings.ProcessYear} LE (p)</t>
  </si>
  <si>
    <t>=concatenate(#{bindings.ProcessYear}+1," LE (d)")</t>
  </si>
  <si>
    <t>=concatenate(#{bindings.ProcessYear}+1," LE (p)")</t>
  </si>
  <si>
    <t>=IF("#{row.bindings.GroupingType.inputValue}"&lt;&gt;"",
"=SUMIFS(aa,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"#{row.bindings.EstimateProbNextYear.inputValue}")</t>
  </si>
  <si>
    <t>#{row.bindings.EstimateDetCurrYear.inputValue}</t>
  </si>
  <si>
    <t>#{_ADFDIres[COMPONENTS_TABLE_FLAGGED_COL_LABEL]}</t>
  </si>
  <si>
    <t>#{row.bindings.DevelopmentPhaseCode.inputValue}</t>
  </si>
  <si>
    <t>#{row.bindings.ProjectSbeCode.inputValue}</t>
  </si>
  <si>
    <t>#{row.bindings.ProgramId.inputValue}</t>
  </si>
  <si>
    <t>#{row.bindings.ProjectId.inputValue}</t>
  </si>
  <si>
    <t>#{row.bindings.StudyStatusCode.inputValue}</t>
  </si>
  <si>
    <t>#{row.bindings.GroupingType.inputValue}</t>
  </si>
  <si>
    <t>#{bindings.ProcessName.label}</t>
  </si>
  <si>
    <t>#{bindings.ProcessComments.label}</t>
  </si>
  <si>
    <t>#{bindings.ProcessName}</t>
  </si>
  <si>
    <t>#{bindings.ProcessComments}</t>
  </si>
  <si>
    <t>#{row.bindings.EstimateProbCurrYear.inputValue}</t>
  </si>
  <si>
    <t>#{row.bindings.EstimateDetNextYear.inputValue}</t>
  </si>
  <si>
    <t>#{row.bindings.EstimateProbNextYear.inputValue}</t>
  </si>
  <si>
    <t>#{_ADFDIres[COMPONENTS_TABLE_ROWKEY_COL_LABEL]} - Service</t>
  </si>
  <si>
    <t>#{bindings.EstimateView.hints.DevelopmentPhaseCode.label} - Service</t>
  </si>
  <si>
    <t>#{bindings.EstimateView.hints.ProjectSbeCode.label} - Service</t>
  </si>
  <si>
    <t>#{bindings.EstimateView.hints.ProgramId.label} - Service</t>
  </si>
  <si>
    <t>#{bindings.EstimateView.hints.ProjectId.label} - Service</t>
  </si>
  <si>
    <t>#{bindings.EstimateView.hints.StudyStatusCode.label} - Service</t>
  </si>
  <si>
    <t>#{bindings.EstimateView.hints.GroupingType.label} - Service</t>
  </si>
  <si>
    <t>EmptyColumn - Service</t>
  </si>
  <si>
    <t>#{bindings.EstimateView.hints.EstimateDetCurrYear.label} - Service (DO NOT EDIT!)</t>
  </si>
  <si>
    <t>#{bindings.EstimateView.hints.EstimateProbCurrYear.label} - Service (DO NOT EDIT!)</t>
  </si>
  <si>
    <t>#{bindings.EstimateView.hints.EstimateDetNextYear.label} - Service (DO NOT EDIT!)</t>
  </si>
  <si>
    <t>#{bindings.EstimateView.hints.EstimateProbNextYear.label} - Service (DO NOT EDIT!)</t>
  </si>
  <si>
    <t>=IF("#{row.bindings.GroupingType.inputValue}"&lt;&gt;"",
"=SUMIFS(_z,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"#{row.bindings.EstimateDetNextYear.inputValue}")</t>
  </si>
  <si>
    <t>Changed</t>
  </si>
  <si>
    <t>Status</t>
  </si>
  <si>
    <t>FC#{bindings.CostsForecastNumberVersion} 
(d, #{bindings.ProcessYear})</t>
  </si>
  <si>
    <t>FC#{bindings.CostsForecastNumberVersion} 
(p, #{bindings.ProcessYear})</t>
  </si>
  <si>
    <t>=concatenate("FC#{bindings.CostsForecastNumberVersion}
(d, ",#{bindings.ProcessYear}+1,")")</t>
  </si>
  <si>
    <t>=concatenate("FC#{bindings.CostsForecastNumberVersion}
(p, ",#{bindings.ProcessYear}+1,")")</t>
  </si>
  <si>
    <t>=IF("#{row.bindings.GroupingType.inputValue}"&lt;&gt;"",
"=SUMIFS(_r,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"#{row.bindings.CurrActualsDeterministic.inputValue}")</t>
  </si>
  <si>
    <t>=IF("#{row.bindings.GroupingType.inputValue}"&lt;&gt;"",
"=SUMIFS(_s,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"#{row.bindings.CurrRunrateDeterministic.inputValue}")</t>
  </si>
  <si>
    <t>=IF("#{row.bindings.GroupingType.inputValue}"&lt;&gt;"",
"=SUMIFS(t,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"#{row.bindings.EstimateDetCurrYear.inputValue}")</t>
  </si>
  <si>
    <t>=IF("#{row.bindings.GroupingType.inputValue}"&lt;&gt;"",
"=SUMIFS(u,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"#{row.bindings.EstimateProbCurrYear.inputValue}")</t>
  </si>
  <si>
    <t>=IF("#{row.bindings.GroupingType.inputValue}"&lt;&gt;"",
"=SUMIFS(v,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"#{row.bindings.NextBudgetDeterministic.inputValue}")</t>
  </si>
  <si>
    <t>=IF("#{row.bindings.GroupingType.inputValue}"&lt;&gt;"",
"=SUMIFS(w,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"#{row.bindings.NextBudgetProbabilistic.inputValue}")</t>
  </si>
  <si>
    <t>=IF("#{row.bindings.GroupingType.inputValue}"&lt;&gt;"",
"=SUMIFS(x,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"#{row.bindings.NextForecastDeterministic.inputValue}")</t>
  </si>
  <si>
    <t>=IF("#{row.bindings.GroupingType.inputValue}"&lt;&gt;"",
"=SUMIFS(y,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"#{row.bindings.NextForecastProbabilistic.inputValue}")</t>
  </si>
  <si>
    <t>#{bindings.ProcessIsNextYear}</t>
  </si>
  <si>
    <t>Service - Form general parameters</t>
  </si>
  <si>
    <t>#{bindings.StatusCode}</t>
  </si>
  <si>
    <t>#{row.bindings.ProjectFundY1.inputValue}</t>
  </si>
  <si>
    <t>#{row.bindings.ProjectFundY2.inputValue}</t>
  </si>
  <si>
    <t>#{bindings.EstimateView.hints.StudyIsObligation.label}</t>
  </si>
  <si>
    <t>#{row.bindings.StudyIsObligation.inputValue}</t>
  </si>
  <si>
    <t>#{bindings.EstimateView.hints.StudyIsProbing.label}</t>
  </si>
  <si>
    <t>#{row.bindings.StudyIsProbing.inputValue}</t>
  </si>
  <si>
    <t>#{bindings.EstimateView.hints.StudyIsGpdcApproved.label}</t>
  </si>
  <si>
    <t>#{row.bindings.StudyIsGpdcApproved.inputValue}</t>
  </si>
  <si>
    <t>CalcFC 
(p, #{bindings.ProcessYear})</t>
  </si>
  <si>
    <t/>
  </si>
  <si>
    <t>&lt;CellOutputText ComponentID="OTX1939415938"&gt;&lt;Position Row="19" Column="BJ" /&gt;&lt;StyleName&gt;&lt;Value&gt;_ADFDI_OutputTextStyle&lt;/Value&gt;&lt;/StyleName&gt;&lt;OutputText&gt;&lt;DoubleClickActionSet&gt;&lt;Alert /&gt;&lt;ActionOptions /&gt;&lt;Status /&gt;&lt;/DoubleClickActionSet&gt;&lt;Value&gt;&lt;Value&gt;#{bindings.ProcessIsNextYear}&lt;/Value&gt;&lt;/Value&gt;&lt;/OutputText&gt;&lt;/CellOutputText&gt;</t>
  </si>
  <si>
    <t>&lt;CellOutputText ComponentID="OTX1327746457"&gt;&lt;Position Row="20" Column="BJ" /&gt;&lt;StyleName&gt;&lt;Value&gt;_ADFDI_OutputTextStyle&lt;/Value&gt;&lt;/StyleName&gt;&lt;OutputText&gt;&lt;DoubleClickActionSet&gt;&lt;Alert /&gt;&lt;ActionOptions /&gt;&lt;Status /&gt;&lt;/DoubleClickActionSet&gt;&lt;Value&gt;&lt;Value&gt;#{bindings.StatusCode}&lt;/Value&gt;&lt;/Value&gt;&lt;/OutputText&gt;&lt;/CellOutputText&gt;</t>
  </si>
  <si>
    <t>GPDC Funding Release (#{bindings.ProcessYear})</t>
  </si>
  <si>
    <t>=concatenate("CalcFC (p, ",#{bindings.ProcessYear}+1,")")</t>
  </si>
  <si>
    <t>=IF("#{row.bindings.GroupingType.inputValue}"&lt;&gt;"",
"=SUMIFS(a,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"#{row.bindings.CurrCforecastProbabilistic.inputValue}")</t>
  </si>
  <si>
    <t>=IF("#{row.bindings.GroupingType.inputValue}"&lt;&gt;"",
"=SUMIFS(b,
av,"""",
aq,""#{row.bindings.DevelopmentPhaseCode.inputValue}"",
IF(#{row.bindings.GroupingType.inputValue}&gt;1,ar,aw),IF(#{row.bindings.GroupingType.inputValue}&gt;1,""#{row.bindings.ProjectSbeCode.inputValue}"",""""),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"#{row.bindings.NextCforecastProbabilistic.inputValue}")</t>
  </si>
  <si>
    <t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ID="EstimateView" /&gt;&lt;UniqueAttribute /&gt;&lt;Columns Annotation="DevelopmentPhaseName" ID="DevelopmentPhaseName"&gt;&lt;HeaderStyleName&gt;&lt;Value&gt;IPMS_TableHeader&lt;/Value&gt;&lt;/HeaderStyleName&gt;&lt;HeaderLabel&gt;&lt;Value&gt;#{bindings.EstimateView.hints.DevelopmentPhaseName.label}&lt;/Value&gt;&lt;/HeaderLabel&gt;&lt;CellStyleName&gt;&lt;Value&gt;=IF(IF("#{row.bindings.GroupingType.inputValue}"="",9,#{row.bindings.GroupingType.inputValue})&amp;lt;2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evelopmentPhaseName.inputValue}&lt;/Value&gt;&lt;/Value&gt;&lt;ReadOnly&gt;&lt;Value&gt;True&lt;/Value&gt;&lt;/ReadOnly&gt;&lt;/UpdateComponent&gt;&lt;/Columns&gt;&lt;Columns Annotation="ProjectSbeName" ID="ProjectSbeName"&gt;&lt;HeaderStyleName&gt;&lt;Value&gt;IPMS_TableHeader&lt;/Value&gt;&lt;/HeaderStyleName&gt;&lt;HeaderLabel&gt;&lt;Value&gt;#{bindings.EstimateView.hints.ProjectSbeName.label}&lt;/Value&gt;&lt;/HeaderLabel&gt;&lt;CellStyleName&gt;&lt;Value&gt;=IF(IF("#{row.bindings.GroupingType.inputValue}"="",9,#{row.bindings.GroupingType.inputValue})&amp;lt;3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SbeName.inputValue}&lt;/Value&gt;&lt;/Value&gt;&lt;ReadOnly&gt;&lt;Value&gt;True&lt;/Value&gt;&lt;/ReadOnly&gt;&lt;/UpdateComponent&gt;&lt;/Columns&gt;&lt;Columns Annotation="ProgramName" ID="ProgramName"&gt;&lt;HeaderStyleName&gt;&lt;Value&gt;IPMS_TableHeader&lt;/Value&gt;&lt;/HeaderStyleName&gt;&lt;HeaderLabel&gt;&lt;Value&gt;#{bindings.EstimateView.hints.ProgramName.label}&lt;/Value&gt;&lt;/HeaderLabel&gt;&lt;CellStyleName&gt;&lt;Value&gt;=IF(IF("#{row.bindings.GroupingType.inputValue}"="",9,#{row.bindings.GroupingType.inputValue})&amp;lt;4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gramName.inputValue}&lt;/Value&gt;&lt;/Value&gt;&lt;ReadOnly&gt;&lt;Value&gt;True&lt;/Value&gt;&lt;/ReadOnly&gt;&lt;/UpdateComponent&gt;&lt;/Columns&gt;&lt;Columns Annotation="ProjectCode" ID="COL1054718524"&gt;&lt;HeaderStyleName&gt;&lt;Value&gt;IPMS_TableHeader&lt;/Value&gt;&lt;/HeaderStyleName&gt;&lt;HeaderLabel&gt;&lt;Value&gt;#{bindings.EstimateView.hints.ProjectCode.label}&lt;/Value&gt;&lt;/HeaderLabel&gt;&lt;CellStyleName&gt;&lt;Value&gt;=IF(OR("#{row.bindings.GroupingType.inputValue}"=""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Code.inputValue}&lt;/Value&gt;&lt;/Value&gt;&lt;ReadOnly&gt;&lt;Value&gt;True&lt;/Value&gt;&lt;/ReadOnly&gt;&lt;/UpdateComponent&gt;&lt;/Columns&gt;&lt;Columns Annotation="ProjectName" ID="ProjectName"&gt;&lt;HeaderStyleName&gt;&lt;Value&gt;IPMS_TableHeader&lt;/Value&gt;&lt;/HeaderStyleName&gt;&lt;HeaderLabel&gt;&lt;Value&gt;#{bindings.EstimateView.hints.ProjectName.label}&lt;/Value&gt;&lt;/HeaderLabel&gt;&lt;CellStyleName&gt;&lt;Value&gt;=IF(OR("#{row.bindings.GroupingType.inputValue}"=""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Name.inputValue}&lt;/Value&gt;&lt;/Value&gt;&lt;ReadOnly&gt;&lt;Value&gt;True&lt;/Value&gt;&lt;/ReadOnly&gt;&lt;/UpdateComponent&gt;&lt;/Columns&gt;&lt;Columns Annotation="ProjectFundY1" ID="ProjectFundY1"&gt;&lt;HeaderStyleName&gt;&lt;Value&gt;IPMS_TableHeader&lt;/Value&gt;&lt;/HeaderStyleName&gt;&lt;HeaderLabel&gt;&lt;Value&gt;GPDC Funding Release (#{bindings.ProcessYear})&lt;/Value&gt;&lt;/HeaderLabel&gt;&lt;CellStyleName&gt;&lt;Value&gt;=IF(OR("#{row.bindings.GroupingType.inputValue}"="","#{row.bindings.GroupingType.inputValue}"="5"),"IPMS_TableCell_Text_ReadOnly",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/&gt;&lt;/DoubleClickActionSet&gt;&lt;Value&gt;&lt;Value&gt;#{row.bindings.ProjectFundY1.inputValue}&lt;/Value&gt;&lt;/Value&gt;&lt;ReadOnly&gt;&lt;Value&gt;True&lt;/Value&gt;&lt;/ReadOnly&gt;&lt;/UpdateComponent&gt;&lt;/Columns&gt;&lt;Columns Annotation="ProjectFundY2" ID="ProjectFundY2"&gt;&lt;HeaderStyleName&gt;&lt;Value&gt;IPMS_TableHeader&lt;/Value&gt;&lt;/HeaderStyleName&gt;&lt;HeaderLabel&gt;&lt;Value&gt;=concatenate("GPDC Funding Release (",#{bindings.ProcessYear}+1,")")&lt;/Value&gt;&lt;/HeaderLabel&gt;&lt;CellStyleName&gt;&lt;Value&gt;=IF(OR("#{row.bindings.GroupingType.inputValue}"="","#{row.bindings.GroupingType.inputValue}"="5"),"IPMS_TableCell_Text_ReadOnly",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/&gt;&lt;/DoubleClickActionSet&gt;&lt;Value&gt;&lt;Value&gt;#{row.bindings.ProjectFundY2.inputValue}&lt;/Value&gt;&lt;/Value&gt;&lt;ReadOnly&gt;&lt;Value&gt;True&lt;/Value&gt;&lt;/ReadOnly&gt;&lt;/UpdateComponent&gt;&lt;/Columns&gt;&lt;Columns Annotation="StudyStatusName" ID="StudyStatusName"&gt;&lt;HeaderStyleName&gt;&lt;Value&gt;IPMS_TableHeader&lt;/Value&gt;&lt;/HeaderStyleName&gt;&lt;HeaderLabel&gt;&lt;Value&gt;#{bindings.EstimateView.hints.StudyStatusName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StatusName.inputValue}&lt;/Value&gt;&lt;/Value&gt;&lt;ReadOnly&gt;&lt;Value&gt;True&lt;/Value&gt;&lt;/ReadOnly&gt;&lt;/UpdateComponent&gt;&lt;/Columns&gt;&lt;Columns Annotation="StudyPhase" ID="StudyPhase"&gt;&lt;HeaderStyleName&gt;&lt;Value&gt;IPMS_TableHeader&lt;/Value&gt;&lt;/HeaderStyleName&gt;&lt;HeaderLabel&gt;&lt;Value&gt;#{bindings.EstimateView.hints.StudyPhase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Phase.inputValue}&lt;/Value&gt;&lt;/Value&gt;&lt;ReadOnly&gt;&lt;Value&gt;True&lt;/Value&gt;&lt;/ReadOnly&gt;&lt;/UpdateComponent&gt;&lt;/Columns&gt;&lt;Columns Annotation="StudyId" ID="StudyId"&gt;&lt;HeaderStyleName&gt;&lt;Value&gt;IPMS_TableHeader&lt;/Value&gt;&lt;/HeaderStyleName&gt;&lt;HeaderLabel&gt;&lt;Value&gt;#{bindings.EstimateView.hints.StudyId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Id.inputValue}&lt;/Value&gt;&lt;/Value&gt;&lt;ReadOnly&gt;&lt;Value&gt;True&lt;/Value&gt;&lt;/ReadOnly&gt;&lt;/UpdateComponent&gt;&lt;/Columns&gt;&lt;Columns Annotation="StudyName" ID="StudyName"&gt;&lt;HeaderStyleName&gt;&lt;Value&gt;IPMS_TableHeader&lt;/Value&gt;&lt;/HeaderStyleName&gt;&lt;HeaderLabel&gt;&lt;Value&gt;#{bindings.EstimateView.hints.StudyName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Name.inputValue}&lt;/Value&gt;&lt;/Value&gt;&lt;ReadOnly&gt;&lt;Value&gt;True&lt;/Value&gt;&lt;/ReadOnly&gt;&lt;/UpdateComponent&gt;&lt;/Columns&gt;&lt;Columns Annotation="StudyFpfv" ID="StudyFpfv"&gt;&lt;HeaderStyleName&gt;&lt;Value&gt;IPMS_TableHeader&lt;/Value&gt;&lt;/HeaderStyleName&gt;&lt;HeaderLabel&gt;&lt;Value&gt;#{bindings.EstimateView.hints.StudyFpfv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Fpfv.inputValue}&lt;/Value&gt;&lt;/Value&gt;&lt;ReadOnly&gt;&lt;Value&gt;True&lt;/Value&gt;&lt;/ReadOnly&gt;&lt;/UpdateComponent&gt;&lt;/Columns&gt;&lt;Columns Annotation="StudyLplv" ID="StudyLplv"&gt;&lt;HeaderStyleName&gt;&lt;Value&gt;IPMS_TableHeader&lt;/Value&gt;&lt;/HeaderStyleName&gt;&lt;HeaderLabel&gt;&lt;Value&gt;#{bindings.EstimateView.hints.StudyLplv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Lplv.inputValue}&lt;/Value&gt;&lt;/Value&gt;&lt;ReadOnly&gt;&lt;Value&gt;True&lt;/Value&gt;&lt;/ReadOnly&gt;&lt;/UpdateComponent&gt;&lt;/Columns&gt;&lt;Columns Annotation="StudyObligation" ID="StudyObligation"&gt;&lt;HeaderStyleName&gt;&lt;Value&gt;IPMS_TableHeader&lt;/Value&gt;&lt;/HeaderStyleName&gt;&lt;HeaderLabel&gt;&lt;Value&gt;#{bindings.EstimateView.hints.StudyIsObligation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/&gt;&lt;/DoubleClickActionSet&gt;&lt;Value&gt;&lt;Value&gt;#{row.bindings.StudyIsObligation.inputValue}&lt;/Value&gt;&lt;/Value&gt;&lt;ReadOnly&gt;&lt;Value&gt;True&lt;/Value&gt;&lt;/ReadOnly&gt;&lt;/UpdateComponent&gt;&lt;/Columns&gt;&lt;Columns Annotation="StudyProbing" ID="StudyProbing"&gt;&lt;HeaderStyleName&gt;&lt;Value&gt;IPMS_TableHeader&lt;/Value&gt;&lt;/HeaderStyleName&gt;&lt;HeaderLabel&gt;&lt;Value&gt;#{bindings.EstimateView.hints.StudyIsProbing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/&gt;&lt;/DoubleClickActionSet&gt;&lt;Value&gt;&lt;Value&gt;#{row.bindings.StudyIsProbing.inputValue}&lt;/Value&gt;&lt;/Value&gt;&lt;ReadOnly&gt;&lt;Value&gt;True&lt;/Value&gt;&lt;/ReadOnly&gt;&lt;/UpdateComponent&gt;&lt;/Columns&gt;&lt;Columns Annotation="StudyGpdcApproved" ID="StudyGpdcApproved"&gt;&lt;HeaderStyleName&gt;&lt;Value&gt;IPMS_TableHeader&lt;/Value&gt;&lt;/HeaderStyleName&gt;&lt;HeaderLabel&gt;&lt;Value&gt;#{bindings.EstimateView.hints.StudyIsGpdcApproved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/&gt;&lt;/DoubleClickActionSet&gt;&lt;Value&gt;&lt;Value&gt;#{row.bindings.StudyIsGpdcApproved.inputValue}&lt;/Value&gt;&lt;/Value&gt;&lt;ReadOnly&gt;&lt;Value&gt;True&lt;/Value&gt;&lt;/ReadOnly&gt;&lt;/UpdateComponent&gt;&lt;/Columns&gt;&lt;Columns Annotation="FunctionName" ID="FunctionName"&gt;&lt;HeaderStyleName&gt;&lt;Value&gt;IPMS_TableHeader&lt;/Value&gt;&lt;/HeaderStyleName&gt;&lt;HeaderLabel&gt;&lt;Value&gt;#{bindings.EstimateView.hints.FunctionName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FunctionName.inputValue}&lt;/Value&gt;&lt;/Value&gt;&lt;ReadOnly&gt;&lt;Value&gt;True&lt;/Value&gt;&lt;/ReadOnly&gt;&lt;/UpdateComponent&gt;&lt;/Columns&gt;&lt;Columns Annotation="CurrBudgetDeterministic" ID="CurrBudgetDeterministic"&gt;&lt;HeaderStyleName&gt;&lt;Value&gt;IPMS_TableHeader_Budget&lt;/Value&gt;&lt;/HeaderStyleName&gt;&lt;HeaderLabel&gt;&lt;Value&gt;Budget (d,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"=SUMIFS(n,_x000D_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"#{row.bindings.CurrBudgetDeterministic.inputValue}")&lt;/Value&gt;&lt;/Value&gt;&lt;ReadOnly&gt;&lt;Value&gt;True&lt;/Value&gt;&lt;/ReadOnly&gt;&lt;/UpdateComponent&gt;&lt;/Columns&gt;&lt;Columns Annotation="CurrBudgetProbabilistic" ID="CurrBudgetProbabilistic"&gt;&lt;HeaderStyleName&gt;&lt;Value&gt;IPMS_TableHeader_Budget&lt;/Value&gt;&lt;/HeaderStyleName&gt;&lt;HeaderLabel&gt;&lt;Value&gt;Budget (p,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"=SUMIFS(o,_x000D_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"#{row.bindings.CurrBudgetProbabilistic.inputValue}")&lt;/Value&gt;&lt;/Value&gt;&lt;ReadOnly&gt;&lt;Value&gt;True&lt;/Value&gt;&lt;/ReadOnly&gt;&lt;/UpdateComponent&gt;&lt;/Columns&gt;&lt;Columns Annotation="CurrForecastDeterministic" ID="CurrForecastDeterministic"&gt;&lt;HeaderStyleName&gt;&lt;Value&gt;IPMS_TableHeader_Forecast&lt;/Value&gt;&lt;/HeaderStyleName&gt;&lt;HeaderLabel&gt;&lt;Value&gt;FC#{bindings.CostsForecastNumberVersion} _x000D_
(d,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"=SUMIFS(p,_x000D_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"#{row.bindings.CurrForecastDeterministic.inputValue}")&lt;/Value&gt;&lt;/Value&gt;&lt;ReadOnly&gt;&lt;Value&gt;True&lt;/Value&gt;&lt;/ReadOnly&gt;&lt;/UpdateComponent&gt;&lt;/Columns&gt;&lt;Columns Annotation="CurrForecastProbabilistic" ID="CurrForecastProbabilistic"&gt;&lt;HeaderStyleName&gt;&lt;Value&gt;IPMS_TableHeader_Forecast&lt;/Value&gt;&lt;/HeaderStyleName&gt;&lt;HeaderLabel&gt;&lt;Value&gt;FC#{bindings.CostsForecastNumberVersion} _x000D_
(p,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"=SUMIFS(q,_x000D_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"#{row.bindings.CurrForecastProbabilistic.inputValue}")&lt;/Value&gt;&lt;/Value&gt;&lt;ReadOnly&gt;&lt;Value&gt;True&lt;/Value&gt;&lt;/ReadOnly&gt;&lt;/UpdateComponent&gt;&lt;/Columns&gt;&lt;Columns Annotation="CurrActualsDeterministic" ID="CurrActualsDeterministic"&gt;&lt;HeaderStyleName&gt;&lt;Value&gt;IPMS_TableHeader_Actuals&lt;/Value&gt;&lt;/HeaderStyleName&gt;&lt;HeaderLabel&gt;&lt;Value&gt;Actuals (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"=SUMIFS(_r,_x000D_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"#{row.bindings.CurrActualsDeterministic.inputValue}")&lt;/Value&gt;&lt;/Value&gt;&lt;ReadOnly&gt;&lt;Value&gt;True&lt;/Value&gt;&lt;/ReadOnly&gt;&lt;/UpdateComponent&gt;&lt;/Columns&gt;&lt;Columns Annotation="CurrRunrateDeterministic" ID="CurrRunrateDeterministic"&gt;&lt;HeaderStyleName&gt;&lt;Value&gt;IPMS_TableHeader_RR&lt;/Value&gt;&lt;/HeaderStyleName&gt;&lt;HeaderLabel&gt;&lt;Value&gt;RR (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"=SUMIFS(_s,_x000D_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"#{row.bindings.CurrRunrateDeterministic.inputValue}")&lt;/Value&gt;&lt;/Value&gt;&lt;ReadOnly&gt;&lt;Value&gt;True&lt;/Value&gt;&lt;/ReadOnly&gt;&lt;/UpdateComponent&gt;&lt;/Columns&gt;&lt;Columns Annotation="CurrCForecastProbabilistic" ID="CurrCForecastProbabilistic"&gt;&lt;HeaderStyleName&gt;&lt;Value&gt;IPMS_TableHeader_cFC&lt;/Value&gt;&lt;/HeaderStyleName&gt;&lt;HeaderLabel&gt;&lt;Value&gt;CalcFC _x000D_
(p,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/&gt;&lt;/DoubleClickActionSet&gt;&lt;Value&gt;&lt;Value&gt;=IF("#{row.bindings.GroupingType.inputValue}"&amp;lt;&amp;gt;"",_x000D_
"=SUMIFS(a,_x000D_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"#{row.bindings.CurrCforecastProbabilistic.inputValue}")&lt;/Value&gt;&lt;/Value&gt;&lt;ReadOnly&gt;&lt;Value&gt;True&lt;/Value&gt;&lt;/ReadOnly&gt;&lt;/UpdateComponent&gt;&lt;/Columns&gt;&lt;Columns Annotation="EstimateDetCurrYear" ID="EstimateDetCurrYear"&gt;&lt;HeaderStyleName&gt;&lt;Value&gt;IPMS_TableHeader&lt;/Value&gt;&lt;/HeaderStyleName&gt;&lt;HeaderLabel&gt;&lt;Value&gt;#{bindings.ProcessYear} LE (d)&lt;/Value&gt;&lt;/HeaderLabel&gt;&lt;CellStyleName&gt;&lt;Value&gt;=IF("#{row.bindings.GroupingType.inputValue}"&amp;lt;&amp;gt;"","IPMS_TableCell_Number_Total",IF("#{row.bindings.StudyStatusCode.inputValue}"="OTHE</t>
  </si>
  <si>
    <t>=concatenate("GPDC Funding Release (",#{bindings.ProcessYear}+1,")")</t>
  </si>
  <si>
    <t>&lt;Workbook&gt;&lt;BrandingItems&gt;&lt;Name&gt;&lt;Value&gt;Application Name&lt;/Value&gt;&lt;/Name&gt;&lt;Value&gt;&lt;Value&gt;MyApplication&lt;/Value&gt;&lt;/Value&gt;&lt;/BrandingItems&gt;&lt;BrandingItems&gt;&lt;Name&gt;&lt;Value&gt;Application Version&lt;/Value&gt;&lt;/Name&gt;&lt;Value&gt;&lt;Value&gt;1.0&lt;/Value&gt;&lt;/Value&gt;&lt;/BrandingItems&gt;&lt;BrandingItems&gt;&lt;Name&gt;&lt;Value&gt;Workbook Name&lt;/Value&gt;&lt;/Name&gt;&lt;Value&gt;&lt;Value&gt;MyWorkbook&lt;/Value&gt;&lt;/Value&gt;&lt;/BrandingItems&gt;&lt;BrandingItems&gt;&lt;Name&gt;&lt;Value&gt;Workbook Version&lt;/Value&gt;&lt;/Name&gt;&lt;Value&gt;&lt;Value&gt;1.0&lt;/Value&gt;&lt;/Value&gt;&lt;/BrandingItems&gt;&lt;BrandingItems&gt;&lt;Name&gt;&lt;Value&gt;Copyright&lt;/Value&gt;&lt;/Name&gt;&lt;Value&gt;&lt;Value&gt;copyright notice&lt;/Value&gt;&lt;/Value&gt;&lt;/BrandingItems&gt;&lt;RemoteServletPath&gt;/adfdiRemoteServlet&lt;/RemoteServletPath&gt;&lt;WebAppRoot /&gt;&lt;WorkbookID&gt;837df9b3-d975-4e7a-acb5-9374cf0b989c&lt;/WorkbookID&gt;&lt;Login&gt;&lt;WindowSize Height="450" Width="500" /&gt;&lt;/Login&gt;&lt;Project&gt;&lt;Value&gt;ipms.adf.view&lt;/Value&gt;&lt;/Project&gt;&lt;ApplicationHomeFolder&gt;C:\Projects\IPMS\trunk\dev\application&lt;/ApplicationHomeFolder&gt;&lt;WebPagesFolder&gt;view\public_html&lt;/WebPagesFolder&gt;&lt;ToolbarMenu&gt;&lt;Title&gt;&lt;Value&gt;MyWorkbook&lt;/Value&gt;&lt;/Title&gt;&lt;WorkbookMenuItems Method="Login"&gt;&lt;Label&gt;&lt;Value&gt;#{_ADFDIres['TOOLBAR_MENU_CMD_LOGIN']}&lt;/Value&gt;&lt;/Label&gt;&lt;/WorkbookMenuItems&gt;&lt;WorkbookMenuItems Method="Logout"&gt;&lt;Label&gt;&lt;Value&gt;#{_ADFDIres['TOOLBAR_MENU_CMD_LOGOUT']}&lt;/Value&gt;&lt;/Label&gt;&lt;/WorkbookMenuItems&gt;&lt;WorkbookMenuItems Method="ViewAboutDialog"&gt;&lt;Label&gt;&lt;Value&gt;#{_ADFDIres['TOOLBAR_MENU_CMD_ABOUT']}&lt;/Value&gt;&lt;/Label&gt;&lt;/WorkbookMenuItems&gt;&lt;/ToolbarMenu&gt;&lt;Parameters&gt;&lt;Parameter&gt;processId&lt;/Parameter&gt;&lt;/Parameters&gt;&lt;Parameters&gt;&lt;Parameter&gt;programId&lt;/Parameter&gt;&lt;/Parameters&gt;&lt;/Workbook&gt;</t>
  </si>
  <si>
    <t>&lt;Worksheet&gt;&lt;Events Event="Startup"&gt;&lt;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ID="setup" /&gt;&lt;/Actions&gt;&lt;Actions p4:type="ADFmAction" xmlns:p4="http://www.w3.org/2001/XMLSchema-instance"&gt;&lt;ActionID ID="ExecuteWithParamsProcess" /&gt;&lt;/Actions&gt;&lt;Actions p4:type="ADFmAction" xmlns:p4="http://www.w3.org/2001/XMLSchema-instance"&gt;&lt;ActionID ID="ExecuteWithParamsLE" /&gt;&lt;/Actions&gt;&lt;Actions p4:type="ComponentAction" ComponentID="TAB340665983" Method="Download" xmlns:p4="http://www.w3.org/2001/XMLSchema-instance" /&gt;&lt;Actions p4:type="WorksheetMethod" Method="DownSync" xmlns:p4="http://www.w3.org/2001/XMLSchema-instance" /&gt;&lt;/ActionSet&gt;&lt;/Events&gt;&lt;MenuItems ID="MEN1134610222"&gt;&lt;Select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ID="ExecuteWithParamsLE" /&gt;&lt;/Actions&gt;&lt;Actions p4:type="ComponentAction" Annotation="Upload" ComponentID="TAB340665983" Method="Upload" xmlns:p4="http://www.w3.org/2001/XMLSchema-instance" /&gt;&lt;Actions p4:type="ADFmAction" xmlns:p4="http://www.w3.org/2001/XMLSchema-instance"&gt;&lt;ActionID ID="Commit" /&gt;&lt;/Actions&gt;&lt;Actions p4:type="ADFmAction" xmlns:p4="http://www.w3.org/2001/XMLSchema-instance"&gt;&lt;ActionID ID="submit" /&gt;&lt;/Actions&gt;&lt;/SelectActionSet&gt;&lt;Label&gt;&lt;Value&gt;Upload Data&lt;/Value&gt;&lt;/Label&gt;&lt;/MenuItems&gt;&lt;ServerContext SendParameters="true"&gt;&lt;IDAttributeID /&gt;&lt;/ServerContext&gt;&lt;RowData&gt;&lt;ChangeIndicatorAttributeID /&gt;&lt;/RowData&gt;&lt;Title /&gt;&lt;PageDef&gt;&lt;PageDef&gt;com_bayer_ipms_view_task_estimatesPageDef&lt;/PageDef&gt;&lt;/PageDef&gt;&lt;Parameters&gt;&lt;Value&gt;&lt;Value&gt;#{workbook.params.programId}&lt;/Value&gt;&lt;/Value&gt;&lt;Parameter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/&gt;&lt;/Parameters&gt;&lt;Protection&gt;&lt;Mode&gt;Automatic&lt;/Mode&gt;&lt;Password&gt;oprisk123&lt;/Password&gt;&lt;/Protection&gt;&lt;/Worksheet&gt;</t>
  </si>
  <si>
    <t xml:space="preserve">R-OEI","IPMS_TableCell_Number_ReadOnly","IPMS_TableCell_Number"))&lt;/Value&gt;&lt;/CellStyleName&gt;&lt;Visible&gt;&lt;Value&gt;True&lt;/Value&gt;&lt;/Visible&gt;&lt;UpdateComponent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"=SUMIFS(t,_x000D_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CurrYear.inputValue}")&lt;/Value&gt;&lt;/Value&gt;&lt;ReadOnly&gt;&lt;Value&gt;=IF(OR("#{row.bindings.GroupingType.inputValue}"&amp;lt;&amp;gt;"","#{row.bindings.StudyStatusCode.inputValue}"="OTHER-OEI"),"True","False")&lt;/Value&gt;&lt;/ReadOnly&gt;&lt;/UpdateComponent&gt;&lt;/Columns&gt;&lt;Columns Annotation="EstimateProbCurrYear" ID="EstimateProbCurrYear"&gt;&lt;HeaderStyleName&gt;&lt;Value&gt;IPMS_TableHeader&lt;/Value&gt;&lt;/HeaderStyleName&gt;&lt;HeaderLabel&gt;&lt;Value&gt;#{bindings.ProcessYear} LE (p)&lt;/Value&gt;&lt;/HeaderLabel&gt;&lt;CellStyleName&gt;&lt;Value&gt;=IF("#{row.bindings.GroupingType.inputValue}"&amp;lt;&amp;gt;"","IPMS_TableCell_Number_Total",IF("#{row.bindings.StudyStatusCode.inputValue}"="OTHER-OEI","IPMS_TableCell_Number_ReadOnly","IPMS_TableCell_Number")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"=SUMIFS(u,_x000D_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ProbCurrYear.inputValue}")&lt;/Value&gt;&lt;/Value&gt;&lt;ReadOnly&gt;&lt;Value&gt;=IF(OR("#{row.bindings.GroupingType.inputValue}"&amp;lt;&amp;gt;"","#{row.bindings.StudyStatusCode.inputValue}"="OTHER-OEI"),"True","False")&lt;/Value&gt;&lt;/ReadOnly&gt;&lt;/UpdateComponent&gt;&lt;/Columns&gt;&lt;Columns Annotation="CommentsCurrYear" ID="CommentsCurrYear"&gt;&lt;HeaderStyleName&gt;&lt;Value&gt;IPMS_TableHeader&lt;/Value&gt;&lt;/HeaderStyleName&gt;&lt;HeaderLabel&gt;&lt;Value&gt;#{bindings.EstimateView.hints.CommentsCurrYear.label}&lt;/Value&gt;&lt;/HeaderLabel&gt;&lt;CellStyleName&gt;&lt;Value&gt;=IF("#{row.bindings.GroupingType.inputValue}"&amp;lt;&amp;gt;"","IPMS_TableCell_Text_Total","IPMS_TableCell_Text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mmentsCurrYear.inputValue}&lt;/Value&gt;&lt;/Value&gt;&lt;ReadOnly&gt;&lt;Value&gt;=IF("#{row.bindings.GroupingType.inputValue}"&amp;lt;&amp;gt;"","True","False")&lt;/Value&gt;&lt;/ReadOnly&gt;&lt;/UpdateComponent&gt;&lt;/Columns&gt;&lt;Columns Annotation="NextBudgetDeterministic" ID="NextBudgetDeterministic"&gt;&lt;HeaderStyleName&gt;&lt;Value&gt;IPMS_TableHeader_Budget&lt;/Value&gt;&lt;/HeaderStyleName&gt;&lt;HeaderLabel&gt;&lt;Value&gt;=concatenate("Budget (d, ",#{bindings.ProcessYear}+1,")"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"=SUMIFS(v,_x000D_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"#{row.bindings.NextBudgetDeterministic.inputValue}")&lt;/Value&gt;&lt;/Value&gt;&lt;ReadOnly&gt;&lt;Value&gt;True&lt;/Value&gt;&lt;/ReadOnly&gt;&lt;/UpdateComponent&gt;&lt;/Columns&gt;&lt;Columns Annotation="NextBudgetProbabilistic" ID="NextBudgetProbabilistic"&gt;&lt;HeaderStyleName&gt;&lt;Value&gt;IPMS_TableHeader_Budget&lt;/Value&gt;&lt;/HeaderStyleName&gt;&lt;HeaderLabel&gt;&lt;Value&gt;=concatenate("Budget (p, ",#{bindings.ProcessYear}+1,")"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"=SUMIFS(w,_x000D_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"#{row.bindings.NextBudgetProbabilistic.inputValue}")&lt;/Value&gt;&lt;/Value&gt;&lt;ReadOnly&gt;&lt;Value&gt;True&lt;/Value&gt;&lt;/ReadOnly&gt;&lt;/UpdateComponent&gt;&lt;/Columns&gt;&lt;Columns Annotation="NextForecastDeterministic" ID="NextForecastDeterministic"&gt;&lt;HeaderStyleName&gt;&lt;Value&gt;IPMS_TableHeader_Forecast&lt;/Value&gt;&lt;/HeaderStyleName&gt;&lt;HeaderLabel&gt;&lt;Value&gt;=concatenate("FC#{bindings.CostsForecastNumberVersion}_x000D_
(d, ",#{bindings.ProcessYear}+1,")"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"=SUMIFS(x,_x000D_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"#{row.bindings.NextForecastDeterministic.inputValue}")&lt;/Value&gt;&lt;/Value&gt;&lt;ReadOnly&gt;&lt;Value&gt;True&lt;/Value&gt;&lt;/ReadOnly&gt;&lt;/UpdateComponent&gt;&lt;/Columns&gt;&lt;Columns Annotation="NextForecastProbabilistic" ID="NextForecastProbabilistic"&gt;&lt;HeaderStyleName&gt;&lt;Value&gt;IPMS_TableHeader_Forecast&lt;/Value&gt;&lt;/HeaderStyleName&gt;&lt;HeaderLabel&gt;&lt;Value&gt;=concatenate("FC#{bindings.CostsForecastNumberVersion}_x000D_
(p, ",#{bindings.ProcessYear}+1,")"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"=SUMIFS(y,_x000D_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"#{row.bindings.NextForecastProbabilistic.inputValue}")&lt;/Value&gt;&lt;/Value&gt;&lt;ReadOnly&gt;&lt;Value&gt;True&lt;/Value&gt;&lt;/ReadOnly&gt;&lt;/UpdateComponent&gt;&lt;/Columns&gt;&lt;Columns Annotation="NextCForecastProbabilistic" ID="NextCForecastProbabilistic"&gt;&lt;HeaderStyleName&gt;&lt;Value&gt;IPMS_TableHeader_cFC&lt;/Value&gt;&lt;/HeaderStyleName&gt;&lt;HeaderLabel&gt;&lt;Value&gt;=concatenate("CalcFC (p, ",#{bindings.ProcessYear}+1,")"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/&gt;&lt;/DoubleClickActionSet&gt;&lt;Value&gt;&lt;Value&gt;=IF("#{row.bindings.GroupingType.inputValue}"&amp;lt;&amp;gt;"",_x000D_
"=SUMIFS(b,_x000D_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"#{row.bindings.NextCforecastProbabilistic.inputValue}")&lt;/Value&gt;&lt;/Value&gt;&lt;ReadOnly&gt;&lt;Value&gt;True&lt;/Value&gt;&lt;/ReadOnly&gt;&lt;/UpdateComponent&gt;&lt;/Columns&gt;&lt;Columns Annotation="EstimateDetNextYear" ID="EstimateDetNextYear"&gt;&lt;HeaderStyleName&gt;&lt;Value&gt;IPMS_TableHeader&lt;/Value&gt;&lt;/HeaderStyleName&gt;&lt;HeaderLabel&gt;&lt;Value&gt;=concatenate(#{bindings.ProcessYear}+1," LE (d)")&lt;/Value&gt;&lt;/HeaderLabel&gt;&lt;CellStyleName&gt;&lt;Value&gt;=IF("#{row.bindings.GroupingType.inputValue}"&amp;lt;&amp;gt;"","IPMS_TableCell_Number_Total",IF(OR(#{bindings.ProcessIsNextYear}=0,"#{row.bindings.StudyStatusCode.inputValue}"="OTHER-OEI"),"IPMS_TableCell_Number_ReadOnly","IPMS_TableCell_Number")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"=SUMIFS(_z,_x000D_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"#{row.bindings.EstimateDetNextYear.inputValue}")&lt;/Value&gt;&lt;/Value&gt;&lt;ReadOnly&gt;&lt;Value&gt;=IF(OR(#{bindings.ProcessIsNextYear}=0,"#{row.bindings.GroupingType.inputValue}"&amp;lt;&amp;gt;"","#{row.bindings.StudyStatusCode.inputValue}"="OTHER-OEI"), "True","False")&lt;/Value&gt;&lt;/ReadOnly&gt;&lt;/UpdateComponent&gt;&lt;/Columns&gt;&lt;Columns Annotation="EstimateProbNextYear" ID="EstimateProbNextYear"&gt;&lt;HeaderStyleName&gt;&lt;Value&gt;IPMS_TableHeader&lt;/Value&gt;&lt;/HeaderStyleName&gt;&lt;HeaderLabel&gt;&lt;Value&gt;=concatenate(#{bindings.ProcessYear}+1," LE (p)")&lt;/Value&gt;&lt;/HeaderLabel&gt;&lt;CellStyleName&gt;&lt;Value&gt;=IF("#{row.bindings.GroupingType.inputValue}"&amp;lt;&amp;gt;"","IPMS_TableCell_Number_Total",IF(OR(#{bindings.ProcessIsNextYear}=0,"#{row.bindings.StudyStatusCode.inputValue}"="OTHER-OEI"),"IPMS_TableCell_Number_ReadOnly","IPMS_TableCell_Number")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"=SUMIFS(aa,_x000D_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"#{row.bindings.EstimateProbNextYear.inputValue}")&lt;/Value&gt;&lt;/Value&gt;&lt;ReadOnly&gt;&lt;Value&gt;=IF(OR(#{bindings.ProcessIsNextYear}=0,"#{row.bindings.GroupingType.inputValue}"&amp;lt;&amp;gt;"","#{row.bindings.StudyStatusCode.inputValue}"="OTHER-OEI"), "True","False")&lt;/Value&gt;&lt;/ReadOnly&gt;&lt;/UpdateComponent&gt;&lt;/Columns&gt;&lt;Columns Annotation="CommentsNextYear" ID="CommentsNextYear"&gt;&lt;HeaderStyleName&gt;&lt;Value&gt;IPMS_TableHeader&lt;/Value&gt;&lt;/HeaderStyleName&gt;&lt;HeaderLabel&gt;&lt;Value&gt;#{bindings.EstimateView.hints.CommentsNextYear.label}&lt;/Value&gt;&lt;/HeaderLabel&gt;&lt;CellStyleName&gt;&lt;Value&gt;=IF("#{row.bindings.GroupingType.inputValue}"&amp;lt;&amp;gt;"","IPMS_TableCell_Text_Total","IPMS_TableCell_Text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CommentsNextYear.inputValue}&lt;/Value&gt;&lt;/Value&gt;&lt;ReadOnly&gt;&lt;Value&gt;=IF("#{row.bindings.GroupingType.inputValue}"&amp;lt;&amp;gt;"","True","False")&lt;/Value&gt;&lt;/ReadOnly&gt;&lt;/UpdateComponent&gt;&lt;/Columns&gt;&lt;Columns Annotation="EstimateDetCurrYear - Service" ID="COL849071653"&gt;&lt;HeaderStyleName&gt;&lt;Value&gt;IPMS_Service&lt;/Value&gt;&lt;/HeaderStyleName&gt;&lt;HeaderLabel&gt;&lt;Value&gt;#{bindings.EstimateView.hints.EstimateDetCurrYear.label}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DetCurrYear.inputValue}&lt;/Value&gt;&lt;/Value&gt;&lt;ReadOnly&gt;&lt;Value&gt;=IF(OR("#{row.bindings.GroupingType.inputValue}"&amp;lt;&amp;gt;"","#{row.bindings.StudyStatusCode.inputValue}"="OTHER-OEI"),"True","False")&lt;/Value&gt;&lt;/ReadOnly&gt;&lt;/UpdateComponent&gt;&lt;/Columns&gt;&lt;Columns Annotation="EstimateProbCurrYear - Service" ID="COL144991482"&gt;&lt;HeaderStyleName&gt;&lt;Value&gt;IPMS_Service&lt;/Value&gt;&lt;/HeaderStyleName&gt;&lt;HeaderLabel&gt;&lt;Value&gt;#{bindings.EstimateView.hints.EstimateProbCurrYear.label}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ProbCurrYear.inputValue}&lt;/Value&gt;&lt;/Value&gt;&lt;ReadOnly&gt;&lt;Value&gt;=IF(OR("#{row.bindings.GroupingType.inputValue}"&amp;lt;&amp;gt;"","#{row.bindings.StudyStatusCode.inputValue}"="OTHER-OEI"),"True","False")&lt;/Value&gt;&lt;/ReadOnly&gt;&lt;/UpdateComponent&gt;&lt;/Columns&gt;&lt;Columns Annotation="EstimateDetNextYear - Service (DO NOT EDIT!)" ID="COL957006755"&gt;&lt;HeaderStyleName&gt;&lt;Value&gt;IPMS_Service&lt;/Value&gt;&lt;/HeaderStyleName&gt;&lt;HeaderLabel&gt;&lt;Value&gt;#{bindings.EstimateView.hints.EstimateDetNextYear.label}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DetNextYear.inputValue}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"True","False")&lt;/Value&gt;&lt;/ReadOnly&gt;&lt;/UpdateComponent&gt;&lt;/Columns&gt;&lt;Columns Annotation="EstimateProbNextYear - Service (DO NOT EDIT!)" ID="COL375817512"&gt;&lt;HeaderStyleName&gt;&lt;Value&gt;IPMS_Service&lt;/Value&gt;&lt;/HeaderStyleName&gt;&lt;HeaderLabel&gt;&lt;Value&gt;#{bindings.EstimateView.hints.EstimateProbNextYear.label}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ProbNextYear.inputValue}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"True","False")&lt;/Value&gt;&lt;/ReadOnly&gt;&lt;/UpdateComponent&gt;&lt;/Columns&gt;&lt;Columns ID="_ADF_ChangedColumn"&gt;&lt;HeaderStyleName&gt;&lt;Value&gt;IPMS_TableHeader&lt;/Value&gt;&lt;/HeaderStyleName&gt;&lt;HeaderLabel&gt;&lt;Value&gt;Changed&lt;/Value&gt;&lt;/HeaderLabel&gt;&lt;CellStyleName&gt;&lt;Value&gt;IPMS_TableCell_Changed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/&gt;&lt;/Value&gt;&lt;/UpdateComponent&gt;&lt;/Columns&gt;&lt;Columns ID="_ADF_StatusColumn"&gt;&lt;HeaderStyleName&gt;&lt;Value&gt;IPMS_TableHeader&lt;/Value&gt;&lt;/HeaderStyleName&gt;&lt;HeaderLabel&gt;&lt;Value&gt;Status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 Enabled="false"&gt;&lt;Title&gt;&lt;Value&gt;#{_ADFDIres['DIALOGS_ACTION_TITLE']}&lt;/Value&gt;&lt;/Title&gt;&lt;Message&gt;&lt;Value&gt;#{_ADFDIres['STATUS_MESSAGE_PROMPT']}&lt;/Value&gt;&lt;/Message&gt;&lt;/Status&gt;&lt;Actions p3:type="ComponentAction" ComponentID="TAB340665983" Method="DisplayRowErrors" /&gt;&lt;/DoubleClickActionSet&gt;&lt;Value&gt;&lt;Value /&gt;&lt;/Value&gt;&lt;/UpdateComponent&gt;&lt;/Columns&gt;&lt;Columns ID="_ADF_FlagColumn"&gt;&lt;HeaderStyleName&gt;&lt;Value&gt;IPMS_TableHeader&lt;/Value&gt;&lt;/HeaderStyleName&gt;&lt;HeaderLabel&gt;&lt;Value&gt;#{_ADFDIres[COMPONENTS_TABLE_FLAGGED_COL_LABEL]}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/&gt;&lt;/Value&gt;&lt;/UpdateComponent&gt;&lt;/Columns&gt;&lt;Columns ID="_ADF_RowKeyColumn"&gt;&lt;HeaderStyleName&gt;&lt;Value&gt;IPMS_Service&lt;/Value&gt;&lt;/HeaderStyleName&gt;&lt;HeaderLabel&gt;&lt;Value&gt;#{_ADFDIres[COMPONENTS_TABLE_ROWKEY_COL_LABEL]}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/&gt;&lt;/Value&gt;&lt;/UpdateComponent&gt;&lt;/Columns&gt;&lt;Columns Annotation="Reserved" ID="COL752427951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/Columns&gt;&lt;Columns Annotation="Reserved" ID="COL1009550782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/Columns&gt;&lt;Columns Annotation="Reserved" ID="COL1416591884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/Columns&gt;&lt;Columns Annotation="Reserved" ID="COL303849929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/Columns&gt;&lt;Columns Annotation="Reserved" ID="COL1937928479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/Columns&gt;&lt;Columns Annotation="Reserved" ID="COL1895382881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/Columns&gt;&lt;Columns Annotation="DevelopmentPhaseCode - Service" ID="COL43008067"&gt;&lt;HeaderStyleName&gt;&lt;Value&gt;IPMS_Service&lt;/Value&gt;&lt;/HeaderStyleName&gt;&lt;HeaderLabel&gt;&lt;Value&gt;#{bindings.EstimateView.hints.DevelopmentPhaseCode.label}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/&gt;&lt;/DoubleClickActionSet&gt;&lt;Value&gt;&lt;Value&gt;#{row.bindings.DevelopmentPhaseCode.inputValue}&lt;/Value&gt;&lt;/Value&gt;&lt;/UpdateComponent&gt;&lt;/Columns&gt;&lt;Columns Annotation="ProjectSbeCode - Service" ID="COL960697907"&gt;&lt;HeaderStyleName&gt;&lt;Value&gt;IPMS_Service&lt;/Value&gt;&lt;/HeaderStyleName&gt;&lt;HeaderLabel&gt;&lt;Value&gt;#{bindings.EstimateView.hints.ProjectSbeCode.label}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/&gt;&lt;/DoubleClickActionSet&gt;&lt;Value&gt;&lt;Value&gt;#{row.bindings.ProjectSbeCode.inputValue}&lt;/Value&gt;&lt;/Value&gt;&lt;/UpdateComponent&gt;&lt;/Columns&gt;&lt;Columns Annotation="ProgramId - Service" ID="COL1855677071"&gt;&lt;HeaderStyleName&gt;&lt;Value&gt;IPMS_Service&lt;/Value&gt;&lt;/HeaderStyleName&gt;&lt;HeaderLabel&gt;&lt;Value&gt;#{bindings.EstimateView.hints.ProgramId.label}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/&gt;&lt;/DoubleClickActionSet&gt;&lt;Value&gt;&lt;Value&gt;#{row.bindings.ProgramId.inputValue}&lt;/Value&gt;&lt;/Value&gt;&lt;/UpdateComponent&gt;&lt;/Columns&gt;&lt;Columns Annotation="ProjectId - Service" ID="COL1296281189"&gt;&lt;HeaderStyleName&gt;&lt;Value&gt;IPMS_Service&lt;/Value&gt;&lt;/HeaderStyleName&gt;&lt;HeaderLabel&gt;&lt;Value&gt;#{bindings.EstimateView.hints.ProjectId.label}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/&gt;&lt;/DoubleClickActionSet&gt;&lt;Value&gt;&lt;Value&gt;#{row.bindings.ProjectId.inputValue}&lt;/Value&gt;&lt;/Value&gt;&lt;/UpdateComponent&gt;&lt;/Columns&gt;&lt;Columns Annotation="StudyStatusCode - Service" ID="COL1289870293"&gt;&lt;HeaderStyleName&gt;&lt;Value&gt;IPMS_Service&lt;/Value&gt;&lt;/HeaderStyleName&gt;&lt;HeaderLabel&gt;&lt;Value&gt;#{bindings.EstimateView.hints.StudyStatusCode.label}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/&gt;&lt;/DoubleClickActionSet&gt;&lt;Value&gt;&lt;Value&gt;#{row.bindings.StudyStatusCode.inputValue}&lt;/Value&gt;&lt;/Value&gt;&lt;/UpdateComponent&gt;&lt;/Columns&gt;&lt;Columns Annotation="GroupingType - Service" ID="COL574368633"&gt;&lt;HeaderStyleName&gt;&lt;Value&gt;IPMS_Service&lt;/Value&gt;&lt;/HeaderStyleName&gt;&lt;HeaderLabel&gt;&lt;Value&gt;#{bindings.EstimateView.hints.GroupingType.label} - Service&lt;/Value&gt;&lt;/HeaderLabel&gt;&lt;CellStyleName&gt;&lt;Value&gt;IPMS_Service&lt;/Value&gt;&lt;/CellStyleName&gt;&lt;Visible&gt;&lt;Value&gt;True&lt;/Value&gt;&lt;/Visible&gt;&lt;UpdateComponent </t>
  </si>
  <si>
    <t>p3:type="OutputText" xmlns:p3="http://www.w3.org/2001/XMLSchema-instance"&gt;&lt;DoubleClickActionSet&gt;&lt;Alert /&gt;&lt;ActionOptions /&gt;&lt;Status /&gt;&lt;/DoubleClickActionSet&gt;&lt;Value&gt;&lt;Value&gt;#{row.bindings.GroupingType.inputValue}&lt;/Value&gt;&lt;/Value&gt;&lt;/UpdateComponent&gt;&lt;/Columns&gt;&lt;Columns Annotation="Empty Column - Service" ID="COL1897026326"&gt;&lt;HeaderStyleName&gt;&lt;Value&gt;IPMS_Service&lt;/Value&gt;&lt;/HeaderStyleName&gt;&lt;HeaderLabel&gt;&lt;Value&gt;EmptyColumn - Service&lt;/Value&gt;&lt;/HeaderLabel&gt;&lt;CellStyleName&gt;&lt;Value&gt;IPMS_Service&lt;/Value&gt;&lt;/CellStyleName&gt;&lt;Visible&gt;&lt;Value&gt;True&lt;/Value&gt;&lt;/Visible&gt;&lt;/Columns&gt;&lt;RowData&gt;&lt;ChangeIndicatorAttribute /&gt;&lt;/RowData&gt;&lt;/Table&gt;</t>
  </si>
  <si>
    <t>#{bindings.EstimateView.hints.CommentsCurrYear.label}</t>
  </si>
  <si>
    <t>#{row.bindings.CommentsCurrYear.inputValue}</t>
  </si>
  <si>
    <t>#{bindings.EstimateView.hints.CommentsNextYear.label}</t>
  </si>
  <si>
    <t>#{row.bindings.CommentsNextYear.inputValue}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</si>
</sst>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color rgb="FF534741"/>
      <name val="Tahoma"/>
      <family val="2"/>
    </font>
    <font>
      <sz val="10"/>
      <color rgb="FF333333"/>
      <name val="Tahoma"/>
      <family val="2"/>
    </font>
    <font>
      <sz val="10"/>
      <color rgb="FF4DAFFF"/>
      <name val="Tahoma"/>
      <family val="2"/>
    </font>
    <font>
      <b/>
      <sz val="10"/>
      <color rgb="FF003D5B"/>
      <name val="Tahoma"/>
      <family val="2"/>
    </font>
    <font>
      <sz val="10"/>
      <color rgb="FF333333"/>
      <name val="Tahoma"/>
      <family val="2"/>
      <charset val="186"/>
    </font>
    <font>
      <b/>
      <sz val="10"/>
      <color rgb="FF534741"/>
      <name val="Tahoma"/>
      <family val="2"/>
    </font>
    <font>
      <b/>
      <sz val="10"/>
      <color theme="1"/>
      <name val="Tahoma"/>
      <family val="2"/>
    </font>
    <font>
      <b/>
      <sz val="10"/>
      <color rgb="FF333333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EBEFF5"/>
        <bgColor indexed="64"/>
      </patternFill>
    </fill>
    <fill>
      <gradientFill degree="90">
        <stop position="0">
          <color rgb="FFF0F2F2"/>
        </stop>
        <stop position="1">
          <color rgb="FFFFFFFF"/>
        </stop>
      </gradientFill>
    </fill>
    <fill>
      <gradientFill degree="90">
        <stop position="0">
          <color rgb="FFE8EBF0"/>
        </stop>
        <stop position="1">
          <color rgb="FFFFFFFF"/>
        </stop>
      </gradientFill>
    </fill>
    <fill>
      <gradientFill degree="90">
        <stop position="0">
          <color rgb="FFFFFFFF"/>
        </stop>
        <stop position="1">
          <color rgb="FFB2C1DC"/>
        </stop>
      </gradientFill>
    </fill>
    <fill>
      <gradientFill degree="90">
        <stop position="0">
          <color rgb="FFFFFFFF"/>
        </stop>
        <stop position="1">
          <color rgb="FFEBEFF5"/>
        </stop>
      </gradientFill>
    </fill>
    <fill>
      <gradientFill degree="90">
        <stop position="0">
          <color rgb="FFEBEFF5"/>
        </stop>
        <stop position="1">
          <color rgb="FFC9D2E0"/>
        </stop>
      </gradientFill>
    </fill>
    <fill>
      <gradientFill degree="90">
        <stop position="0">
          <color rgb="FFD9DEE7"/>
        </stop>
        <stop position="1">
          <color rgb="FFFFFFFF"/>
        </stop>
      </gradientFill>
    </fill>
    <fill>
      <gradientFill degree="180">
        <stop position="0">
          <color rgb="FFE8EBF0"/>
        </stop>
        <stop position="1">
          <color theme="0"/>
        </stop>
      </gradientFill>
    </fill>
    <fill>
      <gradientFill>
        <stop position="0">
          <color rgb="FFD9DEE7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0"/>
        </stop>
      </gradientFill>
    </fill>
    <fill>
      <gradientFill degree="270">
        <stop position="0">
          <color rgb="FFE8EBF0"/>
        </stop>
        <stop position="1">
          <color rgb="FFFFFFFF"/>
        </stop>
      </gradientFill>
    </fill>
    <fill>
      <patternFill patternType="solid">
        <fgColor rgb="FFFF0000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FFFFCC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rgb="FFAEB4BD"/>
      </left>
      <right style="thin">
        <color rgb="FFE0E3E8"/>
      </right>
      <top style="thin">
        <color rgb="FFAEB4BD"/>
      </top>
      <bottom style="thin">
        <color rgb="FFE0E3E8"/>
      </bottom>
      <diagonal/>
    </border>
    <border>
      <left style="thin">
        <color rgb="FFA7A9AE"/>
      </left>
      <right style="thin">
        <color rgb="FFA7A9AE"/>
      </right>
      <top style="thin">
        <color rgb="FFA7A9AE"/>
      </top>
      <bottom style="thin">
        <color rgb="FFA7A9AE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E6E8EC"/>
      </left>
      <right style="thin">
        <color rgb="FF8694A1"/>
      </right>
      <top style="double">
        <color rgb="FFE6E8EC"/>
      </top>
      <bottom style="double">
        <color rgb="FF8694A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thin">
        <color rgb="FFE6E8EC"/>
      </left>
      <right style="thin">
        <color rgb="FF8694A1"/>
      </right>
      <top style="thin">
        <color rgb="FFE6E8EC"/>
      </top>
      <bottom style="thin">
        <color rgb="FF8694A1"/>
      </bottom>
      <diagonal/>
    </border>
    <border>
      <left/>
      <right/>
      <top/>
      <bottom style="thin">
        <color rgb="FFA7A9AE"/>
      </bottom>
      <diagonal/>
    </border>
  </borders>
  <cellStyleXfs count="34">
    <xf numFmtId="0" fontId="0" fillId="0" borderId="0"/>
    <xf numFmtId="0" fontId="2" fillId="10" borderId="0" applyNumberFormat="0">
      <alignment horizontal="right" wrapText="1" indent="1"/>
    </xf>
    <xf numFmtId="0" fontId="3" fillId="9" borderId="0" applyNumberFormat="0">
      <alignment wrapText="1"/>
    </xf>
    <xf numFmtId="0" fontId="3" fillId="3" borderId="1" applyNumberFormat="0">
      <alignment wrapText="1"/>
      <protection locked="0"/>
    </xf>
    <xf numFmtId="0" fontId="1" fillId="8" borderId="2" applyNumberFormat="0">
      <alignment horizontal="center" vertical="center" wrapText="1"/>
    </xf>
    <xf numFmtId="0" fontId="4" fillId="4" borderId="2" applyNumberFormat="0">
      <alignment horizontal="center" vertical="center"/>
    </xf>
    <xf numFmtId="0" fontId="3" fillId="0" borderId="3" applyNumberFormat="0">
      <alignment wrapText="1"/>
    </xf>
    <xf numFmtId="0" fontId="3" fillId="0" borderId="2" applyNumberFormat="0">
      <alignment wrapText="1"/>
      <protection locked="0"/>
    </xf>
    <xf numFmtId="0" fontId="3" fillId="2" borderId="2" applyNumberFormat="0">
      <alignment wrapText="1"/>
    </xf>
    <xf numFmtId="0" fontId="3" fillId="5" borderId="4" applyNumberFormat="0">
      <alignment horizontal="center" vertical="center" wrapText="1"/>
    </xf>
    <xf numFmtId="0" fontId="4" fillId="12" borderId="2" applyNumberFormat="0">
      <alignment horizontal="center" vertical="center" wrapText="1"/>
      <protection locked="0"/>
    </xf>
    <xf numFmtId="0" fontId="4" fillId="0" borderId="2" applyNumberFormat="0">
      <alignment horizontal="center" vertical="center" wrapText="1"/>
      <protection locked="0"/>
    </xf>
    <xf numFmtId="0" fontId="5" fillId="6" borderId="5" applyNumberFormat="0">
      <alignment horizontal="left" indent="1"/>
    </xf>
    <xf numFmtId="0" fontId="1" fillId="7" borderId="6" applyNumberFormat="0">
      <alignment wrapText="1"/>
    </xf>
    <xf numFmtId="0" fontId="3" fillId="5" borderId="7" applyNumberFormat="0">
      <alignment horizontal="center" vertical="center" wrapText="1"/>
    </xf>
    <xf numFmtId="0" fontId="6" fillId="2" borderId="2" applyNumberFormat="0">
      <alignment shrinkToFit="1"/>
    </xf>
    <xf numFmtId="49" fontId="3" fillId="0" borderId="2">
      <alignment horizontal="left" vertical="center"/>
      <protection locked="0"/>
    </xf>
    <xf numFmtId="164" fontId="3" fillId="14" borderId="2">
      <alignment wrapText="1"/>
    </xf>
    <xf numFmtId="49" fontId="3" fillId="14" borderId="2">
      <alignment horizontal="left" vertical="center"/>
      <protection locked="0"/>
    </xf>
    <xf numFmtId="49" fontId="3" fillId="15" borderId="0">
      <alignment horizontal="left" wrapText="1" indent="1"/>
    </xf>
    <xf numFmtId="49" fontId="7" fillId="15" borderId="0">
      <alignment horizontal="right" wrapText="1" indent="1"/>
    </xf>
    <xf numFmtId="0" fontId="8" fillId="17" borderId="2">
      <alignment horizontal="center" vertical="center" wrapText="1"/>
    </xf>
    <xf numFmtId="49" fontId="9" fillId="16" borderId="2">
      <alignment horizontal="left" vertical="center"/>
    </xf>
    <xf numFmtId="165" fontId="3" fillId="11" borderId="2">
      <alignment wrapText="1"/>
      <protection locked="0"/>
    </xf>
    <xf numFmtId="165" fontId="3" fillId="14" borderId="2">
      <alignment wrapText="1"/>
    </xf>
    <xf numFmtId="165" fontId="9" fillId="16" borderId="2">
      <alignment wrapText="1"/>
    </xf>
    <xf numFmtId="164" fontId="9" fillId="16" borderId="2">
      <alignment wrapText="1"/>
    </xf>
    <xf numFmtId="0" fontId="4" fillId="14" borderId="2">
      <alignment horizontal="center" vertical="center" wrapText="1"/>
      <protection locked="0"/>
    </xf>
    <xf numFmtId="0" fontId="8" fillId="13" borderId="2">
      <alignment horizontal="center" vertical="center" wrapText="1"/>
    </xf>
    <xf numFmtId="0" fontId="8" fillId="18" borderId="2">
      <alignment horizontal="center" vertical="center" wrapText="1"/>
    </xf>
    <xf numFmtId="0" fontId="8" fillId="19" borderId="2">
      <alignment horizontal="center" vertical="center" wrapText="1"/>
    </xf>
    <xf numFmtId="0" fontId="8" fillId="20" borderId="2">
      <alignment horizontal="center" vertical="center" wrapText="1"/>
    </xf>
    <xf numFmtId="0" fontId="8" fillId="21" borderId="2">
      <alignment horizontal="center" vertical="center" wrapText="1"/>
    </xf>
    <xf numFmtId="0" fontId="8" fillId="22" borderId="2">
      <alignment horizontal="center" vertical="center" wrapText="1"/>
    </xf>
  </cellStyleXfs>
  <cellXfs count="39">
    <xf numFmtId="0" fontId="0" fillId="0" borderId="0" xfId="0"/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/>
    <xf numFmtId="49" fontId="0" fillId="0" borderId="0" xfId="0" applyNumberFormat="1"/>
    <xf numFmtId="49" fontId="3" fillId="0" borderId="2" xfId="16">
      <alignment horizontal="left" vertical="center"/>
      <protection locked="0"/>
    </xf>
    <xf numFmtId="164" fontId="3" fillId="14" borderId="2" xfId="17">
      <alignment wrapText="1"/>
    </xf>
    <xf numFmtId="49" fontId="3" fillId="14" borderId="2" xfId="18">
      <alignment horizontal="left" vertical="center"/>
      <protection locked="0"/>
    </xf>
    <xf numFmtId="0" fontId="0" fillId="0" borderId="0" xfId="0" quotePrefix="1" applyAlignment="1">
      <alignment wrapText="1"/>
    </xf>
    <xf numFmtId="0" fontId="8" fillId="17" borderId="2" xfId="21">
      <alignment horizontal="center" vertical="center" wrapText="1"/>
    </xf>
    <xf numFmtId="49" fontId="7" fillId="15" borderId="0" xfId="20">
      <alignment horizontal="right" wrapText="1" indent="1"/>
    </xf>
    <xf numFmtId="49" fontId="3" fillId="15" borderId="0" xfId="19">
      <alignment horizontal="left" wrapText="1" indent="1"/>
    </xf>
    <xf numFmtId="49" fontId="9" fillId="16" borderId="2" xfId="22">
      <alignment horizontal="left" vertical="center"/>
    </xf>
    <xf numFmtId="165" fontId="3" fillId="11" borderId="2" xfId="23">
      <alignment wrapText="1"/>
      <protection locked="0"/>
    </xf>
    <xf numFmtId="165" fontId="3" fillId="14" borderId="2" xfId="24">
      <alignment wrapText="1"/>
    </xf>
    <xf numFmtId="165" fontId="9" fillId="16" borderId="2" xfId="25">
      <alignment wrapText="1"/>
    </xf>
    <xf numFmtId="164" fontId="9" fillId="16" borderId="2" xfId="26">
      <alignment wrapText="1"/>
    </xf>
    <xf numFmtId="0" fontId="0" fillId="0" borderId="0" xfId="0" applyProtection="1">
      <protection locked="0"/>
    </xf>
    <xf numFmtId="0" fontId="0" fillId="0" borderId="0" xfId="0" applyAlignment="1"/>
    <xf numFmtId="0" fontId="0" fillId="0" borderId="8" xfId="0" applyBorder="1" applyAlignment="1"/>
    <xf numFmtId="0" fontId="0" fillId="0" borderId="0" xfId="0" applyAlignment="1" applyProtection="1">
      <alignment horizontal="center" vertical="center"/>
      <protection locked="0"/>
    </xf>
    <xf numFmtId="0" fontId="4" fillId="14" borderId="2" xfId="27">
      <alignment horizontal="center" vertical="center" wrapText="1"/>
      <protection locked="0"/>
    </xf>
    <xf numFmtId="0" fontId="3" fillId="0" borderId="2" xfId="7">
      <alignment wrapText="1"/>
      <protection locked="0"/>
    </xf>
    <xf numFmtId="0" fontId="8" fillId="17" borderId="2" xfId="21" quotePrefix="1">
      <alignment horizontal="center" vertical="center" wrapText="1"/>
    </xf>
    <xf numFmtId="0" fontId="1" fillId="8" borderId="2" xfId="4">
      <alignment horizontal="center" vertical="center" wrapText="1"/>
    </xf>
    <xf numFmtId="0" fontId="8" fillId="13" borderId="2" xfId="28">
      <alignment horizontal="center" vertical="center" wrapText="1"/>
    </xf>
    <xf numFmtId="0" fontId="8" fillId="18" borderId="2" xfId="29">
      <alignment horizontal="center" vertical="center" wrapText="1"/>
    </xf>
    <xf numFmtId="0" fontId="8" fillId="19" borderId="2" xfId="30">
      <alignment horizontal="center" vertical="center" wrapText="1"/>
    </xf>
    <xf numFmtId="0" fontId="8" fillId="20" borderId="2" xfId="31">
      <alignment horizontal="center" vertical="center" wrapText="1"/>
    </xf>
    <xf numFmtId="0" fontId="8" fillId="18" borderId="2" xfId="29" quotePrefix="1">
      <alignment horizontal="center" vertical="center" wrapText="1"/>
    </xf>
    <xf numFmtId="0" fontId="8" fillId="19" borderId="2" xfId="30" quotePrefix="1">
      <alignment horizontal="center" vertical="center" wrapText="1"/>
    </xf>
    <xf numFmtId="0" fontId="8" fillId="21" borderId="2" xfId="32">
      <alignment horizontal="center" vertical="center" wrapText="1"/>
    </xf>
    <xf numFmtId="0" fontId="8" fillId="21" borderId="2" xfId="32" quotePrefix="1">
      <alignment horizontal="center" vertical="center" wrapText="1"/>
    </xf>
    <xf numFmtId="0" fontId="8" fillId="20" borderId="2" xfId="31" quotePrefix="1">
      <alignment horizontal="center" vertical="center" wrapText="1"/>
    </xf>
    <xf numFmtId="0" fontId="3" fillId="9" borderId="0" xfId="2">
      <alignment wrapText="1"/>
    </xf>
    <xf numFmtId="0" fontId="0" fillId="0" borderId="0" xfId="0" quotePrefix="1"/>
    <xf numFmtId="0" fontId="8" fillId="22" borderId="2" xfId="33">
      <alignment horizontal="center" vertical="center" wrapText="1"/>
    </xf>
    <xf numFmtId="0" fontId="8" fillId="22" borderId="2" xfId="33" quotePrefix="1">
      <alignment horizontal="center" vertical="center" wrapText="1"/>
    </xf>
    <xf numFmtId="49" fontId="3" fillId="15" borderId="0" xfId="19">
      <alignment horizontal="left" wrapText="1" indent="1"/>
    </xf>
  </cellXfs>
  <cellStyles count="34">
    <cellStyle name="_ADFDI_FormBottomStyle" xfId="13"/>
    <cellStyle name="_ADFDI_FormDoubleClickCellStyle" xfId="14"/>
    <cellStyle name="_ADFDI_FormTopStyle" xfId="12"/>
    <cellStyle name="_ADFDI_HeaderStyle" xfId="4"/>
    <cellStyle name="_ADFDI_InputTextStyle" xfId="3"/>
    <cellStyle name="_ADFDI_LabelStyle" xfId="1"/>
    <cellStyle name="_ADFDI_OutputTextStyle" xfId="2"/>
    <cellStyle name="_ADFDI_ReadOnlyTableStyle" xfId="6"/>
    <cellStyle name="_ADFDI_TableCellROStyle" xfId="8"/>
    <cellStyle name="_ADFDI_TableCellStyle" xfId="7"/>
    <cellStyle name="_ADFDI_TableChangedColumnStyle" xfId="10"/>
    <cellStyle name="_ADFDI_TableDoubleClickCellStyle" xfId="9"/>
    <cellStyle name="_ADFDI_TableFlagColumnStyle" xfId="11"/>
    <cellStyle name="_ADFDI_TableKeyCellStyle" xfId="15"/>
    <cellStyle name="_ADFDI_TriangleHeaderStyle" xfId="5"/>
    <cellStyle name="IPMS_Label" xfId="20"/>
    <cellStyle name="IPMS_OutputText" xfId="19"/>
    <cellStyle name="IPMS_Service" xfId="28"/>
    <cellStyle name="IPMS_TableCell_Changed" xfId="27"/>
    <cellStyle name="IPMS_TableCell_Date_ReadOnly" xfId="17"/>
    <cellStyle name="IPMS_TableCell_Date_Total" xfId="26"/>
    <cellStyle name="IPMS_TableCell_Number" xfId="23"/>
    <cellStyle name="IPMS_TableCell_Number_ReadOnly" xfId="24"/>
    <cellStyle name="IPMS_TableCell_Number_Total" xfId="25"/>
    <cellStyle name="IPMS_TableCell_Text" xfId="16"/>
    <cellStyle name="IPMS_TableCell_Text_ReadOnly" xfId="18"/>
    <cellStyle name="IPMS_TableCell_Text_Total" xfId="22"/>
    <cellStyle name="IPMS_TableHeader" xfId="21"/>
    <cellStyle name="IPMS_TableHeader_Actuals" xfId="32"/>
    <cellStyle name="IPMS_TableHeader_Budget" xfId="29"/>
    <cellStyle name="IPMS_TableHeader_cFC" xfId="33"/>
    <cellStyle name="IPMS_TableHeader_Forecast" xfId="30"/>
    <cellStyle name="IPMS_TableHeader_RR" xfId="31"/>
    <cellStyle name="Normal" xfId="0" builtinId="0"/>
  </cellStyles>
  <dxfs count="1">
    <dxf>
      <font>
        <color rgb="FF9C0006"/>
      </font>
    </dxf>
  </dxfs>
  <tableStyles count="0" defaultTableStyle="TableStyleMedium9" defaultPivotStyle="PivotStyleLight16"/>
  <colors>
    <mruColors>
      <color rgb="FF92D050"/>
      <color rgb="FFF2F2F2"/>
      <color rgb="FFFFCC00"/>
      <color rgb="FFFF9900"/>
      <color rgb="FFCCFFCC"/>
      <color rgb="FF99CCFF"/>
      <color rgb="FFD9D9D9"/>
      <color rgb="FFFFFFCC"/>
      <color rgb="FFBFBFBF"/>
      <color rgb="FFD1D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180975</xdr:rowOff>
        </xdr:from>
        <xdr:to>
          <xdr:col>3</xdr:col>
          <xdr:colOff>1390650</xdr:colOff>
          <xdr:row>0</xdr:row>
          <xdr:rowOff>495300</xdr:rowOff>
        </xdr:to>
        <xdr:sp macro="" textlink="">
          <xdr:nvSpPr>
            <xdr:cNvPr id="1028" name="CmdShowHideY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1485900</xdr:colOff>
          <xdr:row>0</xdr:row>
          <xdr:rowOff>171450</xdr:rowOff>
        </xdr:from>
        <xdr:to>
          <xdr:col>5</xdr:col>
          <xdr:colOff>180975</xdr:colOff>
          <xdr:row>0</xdr:row>
          <xdr:rowOff>485775</xdr:rowOff>
        </xdr:to>
        <xdr:sp macro="" textlink="">
          <xdr:nvSpPr>
            <xdr:cNvPr id="1029" name="CmdShowHideY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0</xdr:row>
          <xdr:rowOff>180975</xdr:rowOff>
        </xdr:from>
        <xdr:to>
          <xdr:col>2</xdr:col>
          <xdr:colOff>666750</xdr:colOff>
          <xdr:row>0</xdr:row>
          <xdr:rowOff>495300</xdr:rowOff>
        </xdr:to>
        <xdr:sp macro="" textlink="">
          <xdr:nvSpPr>
            <xdr:cNvPr id="1030" name="CmdShowHideFilter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A21"/>
  <sheetViews>
    <sheetView tabSelected="1" workbookViewId="0"/>
  </sheetViews>
  <sheetFormatPr defaultRowHeight="15" x14ac:dyDescent="0.25"/>
  <cols>
    <col min="2" max="2" width="15.42578125" customWidth="1"/>
    <col min="3" max="3" width="16" customWidth="1"/>
    <col min="4" max="4" width="23.7109375" customWidth="1"/>
    <col min="5" max="5" width="21.42578125" customWidth="1"/>
    <col min="6" max="6" width="28.28515625" customWidth="1"/>
    <col min="7" max="8" width="14.28515625" customWidth="1"/>
    <col min="9" max="9" width="35" style="4" customWidth="1"/>
    <col min="10" max="10" width="12.85546875" customWidth="1"/>
    <col min="11" max="11" width="12.85546875" style="3" customWidth="1"/>
    <col min="12" max="12" width="34.28515625" style="3" customWidth="1"/>
    <col min="13" max="14" width="11" style="1" customWidth="1"/>
    <col min="15" max="15" width="10.42578125" customWidth="1"/>
    <col min="16" max="16" width="9.140625" customWidth="1"/>
    <col min="17" max="17" width="10" customWidth="1"/>
    <col min="18" max="18" width="27.85546875" customWidth="1"/>
    <col min="19" max="27" width="10" customWidth="1"/>
    <col min="28" max="28" width="22.140625" style="4" customWidth="1"/>
    <col min="29" max="35" width="10" customWidth="1"/>
    <col min="36" max="36" width="22.140625" customWidth="1"/>
    <col min="37" max="40" width="9.140625" hidden="1" customWidth="1"/>
    <col min="41" max="41" width="9.140625" customWidth="1"/>
    <col min="42" max="42" width="9.7109375" customWidth="1"/>
    <col min="43" max="44" width="18" hidden="1" customWidth="1"/>
    <col min="45" max="45" width="17.28515625" hidden="1" customWidth="1"/>
    <col min="46" max="46" width="14.28515625" hidden="1" customWidth="1"/>
    <col min="47" max="47" width="20" hidden="1" customWidth="1"/>
    <col min="48" max="48" width="12.5703125" hidden="1" customWidth="1"/>
    <col min="49" max="49" width="9.5703125" hidden="1" customWidth="1"/>
    <col min="50" max="50" width="17" hidden="1" customWidth="1"/>
    <col min="51" max="51" width="13.28515625" style="17" hidden="1" customWidth="1"/>
    <col min="52" max="52" width="17.28515625" style="17" hidden="1" customWidth="1"/>
    <col min="53" max="53" width="18.28515625" style="17" hidden="1" customWidth="1"/>
    <col min="54" max="54" width="16.85546875" style="17" hidden="1" customWidth="1"/>
    <col min="55" max="55" width="13.140625" style="17" hidden="1" customWidth="1"/>
    <col min="56" max="56" width="12.5703125" style="17" hidden="1" customWidth="1"/>
    <col min="57" max="61" width="0" style="17" hidden="1" customWidth="1"/>
    <col min="62" max="62" width="35.5703125" style="17" hidden="1" customWidth="1"/>
    <col min="63" max="63" width="0" style="17" hidden="1" customWidth="1"/>
    <col min="64" max="183" width="9.140625" style="17"/>
  </cols>
  <sheetData>
    <row r="1" spans="2:183" ht="52.5" customHeight="1" x14ac:dyDescent="0.25">
      <c r="BJ1" s="17" t="s">
        <v>95</v>
      </c>
    </row>
    <row r="2" spans="2:183" ht="39" x14ac:dyDescent="0.25">
      <c r="B2" s="10" t="s">
        <v>60</v>
      </c>
      <c r="C2" s="38" t="s">
        <v>62</v>
      </c>
      <c r="D2" s="38"/>
      <c r="E2" s="18"/>
      <c r="M2"/>
      <c r="N2"/>
      <c r="BJ2" s="10"/>
    </row>
    <row r="3" spans="2:183" ht="39" x14ac:dyDescent="0.25">
      <c r="B3" s="10" t="s">
        <v>61</v>
      </c>
      <c r="C3" s="38" t="s">
        <v>63</v>
      </c>
      <c r="D3" s="38"/>
      <c r="E3" s="19"/>
      <c r="M3"/>
      <c r="N3"/>
      <c r="BJ3" s="11"/>
    </row>
    <row r="4" spans="2:183" s="2" customFormat="1" ht="45" customHeight="1" x14ac:dyDescent="0.2">
      <c r="B4" s="9" t="s">
        <v>13</v>
      </c>
      <c r="C4" s="9" t="s">
        <v>15</v>
      </c>
      <c r="D4" s="9" t="s">
        <v>17</v>
      </c>
      <c r="E4" s="9" t="s">
        <v>19</v>
      </c>
      <c r="F4" s="9" t="s">
        <v>21</v>
      </c>
      <c r="G4" s="9" t="s">
        <v>109</v>
      </c>
      <c r="H4" s="23" t="s">
        <v>114</v>
      </c>
      <c r="I4" s="9" t="s">
        <v>23</v>
      </c>
      <c r="J4" s="9" t="s">
        <v>25</v>
      </c>
      <c r="K4" s="9" t="s">
        <v>27</v>
      </c>
      <c r="L4" s="9" t="s">
        <v>29</v>
      </c>
      <c r="M4" s="9" t="s">
        <v>31</v>
      </c>
      <c r="N4" s="9" t="s">
        <v>33</v>
      </c>
      <c r="O4" s="9" t="s">
        <v>99</v>
      </c>
      <c r="P4" s="9" t="s">
        <v>101</v>
      </c>
      <c r="Q4" s="9" t="s">
        <v>103</v>
      </c>
      <c r="R4" s="23" t="s">
        <v>35</v>
      </c>
      <c r="S4" s="29" t="s">
        <v>37</v>
      </c>
      <c r="T4" s="29" t="s">
        <v>39</v>
      </c>
      <c r="U4" s="30" t="s">
        <v>82</v>
      </c>
      <c r="V4" s="30" t="s">
        <v>83</v>
      </c>
      <c r="W4" s="32" t="s">
        <v>45</v>
      </c>
      <c r="X4" s="33" t="s">
        <v>46</v>
      </c>
      <c r="Y4" s="37" t="s">
        <v>105</v>
      </c>
      <c r="Z4" s="23" t="s">
        <v>47</v>
      </c>
      <c r="AA4" s="23" t="s">
        <v>48</v>
      </c>
      <c r="AB4" s="23" t="s">
        <v>119</v>
      </c>
      <c r="AC4" s="29" t="s">
        <v>43</v>
      </c>
      <c r="AD4" s="29" t="s">
        <v>44</v>
      </c>
      <c r="AE4" s="30" t="s">
        <v>84</v>
      </c>
      <c r="AF4" s="30" t="s">
        <v>85</v>
      </c>
      <c r="AG4" s="37" t="s">
        <v>110</v>
      </c>
      <c r="AH4" s="23" t="s">
        <v>49</v>
      </c>
      <c r="AI4" s="23" t="s">
        <v>50</v>
      </c>
      <c r="AJ4" s="9" t="s">
        <v>121</v>
      </c>
      <c r="AK4" s="25" t="s">
        <v>75</v>
      </c>
      <c r="AL4" s="25" t="s">
        <v>76</v>
      </c>
      <c r="AM4" s="25" t="s">
        <v>77</v>
      </c>
      <c r="AN4" s="25" t="s">
        <v>78</v>
      </c>
      <c r="AO4" s="9" t="s">
        <v>80</v>
      </c>
      <c r="AP4" s="9" t="s">
        <v>81</v>
      </c>
      <c r="AQ4" s="9" t="s">
        <v>53</v>
      </c>
      <c r="AR4" s="25" t="s">
        <v>67</v>
      </c>
      <c r="AS4" s="24" t="s">
        <v>9</v>
      </c>
      <c r="AT4" s="24" t="s">
        <v>9</v>
      </c>
      <c r="AU4" s="24" t="s">
        <v>9</v>
      </c>
      <c r="AV4" s="24" t="s">
        <v>9</v>
      </c>
      <c r="AW4" s="24" t="s">
        <v>9</v>
      </c>
      <c r="AX4" s="24" t="s">
        <v>9</v>
      </c>
      <c r="AY4" s="25" t="s">
        <v>68</v>
      </c>
      <c r="AZ4" s="25" t="s">
        <v>69</v>
      </c>
      <c r="BA4" s="25" t="s">
        <v>70</v>
      </c>
      <c r="BB4" s="25" t="s">
        <v>71</v>
      </c>
      <c r="BC4" s="25" t="s">
        <v>72</v>
      </c>
      <c r="BD4" s="25" t="s">
        <v>73</v>
      </c>
      <c r="BE4" s="25" t="s">
        <v>74</v>
      </c>
      <c r="BF4" s="20"/>
      <c r="BG4" s="20"/>
      <c r="BH4" s="20"/>
      <c r="BI4" s="20"/>
      <c r="BJ4" s="6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</row>
    <row r="5" spans="2:183" ht="19.5" customHeight="1" x14ac:dyDescent="0.25">
      <c r="B5" t="s">
        <v>14</v>
      </c>
      <c r="C5" t="s">
        <v>16</v>
      </c>
      <c r="D5" t="s">
        <v>18</v>
      </c>
      <c r="E5" t="s">
        <v>20</v>
      </c>
      <c r="F5" t="s">
        <v>22</v>
      </c>
      <c r="G5" s="22" t="s">
        <v>97</v>
      </c>
      <c r="H5" t="s">
        <v>98</v>
      </c>
      <c r="I5" t="s">
        <v>24</v>
      </c>
      <c r="J5" t="s">
        <v>26</v>
      </c>
      <c r="K5" t="s">
        <v>28</v>
      </c>
      <c r="L5" t="s">
        <v>30</v>
      </c>
      <c r="M5" t="s">
        <v>32</v>
      </c>
      <c r="N5" s="8" t="s">
        <v>34</v>
      </c>
      <c r="O5" s="8" t="s">
        <v>100</v>
      </c>
      <c r="P5" s="8" t="s">
        <v>102</v>
      </c>
      <c r="Q5" s="8" t="s">
        <v>104</v>
      </c>
      <c r="R5" s="8" t="s">
        <v>36</v>
      </c>
      <c r="S5" s="8" t="s">
        <v>38</v>
      </c>
      <c r="T5" s="8" t="s">
        <v>40</v>
      </c>
      <c r="U5" s="8" t="s">
        <v>41</v>
      </c>
      <c r="V5" s="8" t="s">
        <v>42</v>
      </c>
      <c r="W5" s="8" t="s">
        <v>86</v>
      </c>
      <c r="X5" s="8" t="s">
        <v>87</v>
      </c>
      <c r="Y5" s="8" t="s">
        <v>111</v>
      </c>
      <c r="Z5" s="8" t="s">
        <v>88</v>
      </c>
      <c r="AA5" s="8" t="s">
        <v>89</v>
      </c>
      <c r="AB5" s="8" t="s">
        <v>120</v>
      </c>
      <c r="AC5" s="8" t="s">
        <v>90</v>
      </c>
      <c r="AD5" s="8" t="s">
        <v>91</v>
      </c>
      <c r="AE5" s="8" t="s">
        <v>92</v>
      </c>
      <c r="AF5" s="8" t="s">
        <v>93</v>
      </c>
      <c r="AG5" s="8" t="s">
        <v>112</v>
      </c>
      <c r="AH5" s="8" t="s">
        <v>79</v>
      </c>
      <c r="AI5" s="8" t="s">
        <v>51</v>
      </c>
      <c r="AJ5" t="s">
        <v>122</v>
      </c>
      <c r="AK5" s="25" t="s">
        <v>52</v>
      </c>
      <c r="AL5" s="25" t="s">
        <v>64</v>
      </c>
      <c r="AM5" s="25" t="s">
        <v>65</v>
      </c>
      <c r="AN5" s="25" t="s">
        <v>66</v>
      </c>
      <c r="AO5" s="21"/>
      <c r="AP5" s="7" t="s">
        <v>106</v>
      </c>
      <c r="AQ5" s="7" t="s">
        <v>106</v>
      </c>
      <c r="AR5" s="25"/>
      <c r="AS5" s="22"/>
      <c r="AT5" s="22"/>
      <c r="AU5" s="22"/>
      <c r="AV5" s="22"/>
      <c r="AW5" s="22"/>
      <c r="AX5" s="22"/>
      <c r="AY5" s="25" t="s">
        <v>54</v>
      </c>
      <c r="AZ5" s="25" t="s">
        <v>55</v>
      </c>
      <c r="BA5" s="25" t="s">
        <v>56</v>
      </c>
      <c r="BB5" s="25" t="s">
        <v>57</v>
      </c>
      <c r="BC5" s="25" t="s">
        <v>58</v>
      </c>
      <c r="BD5" s="25" t="s">
        <v>59</v>
      </c>
      <c r="BE5" s="25"/>
      <c r="BJ5" s="13"/>
      <c r="GA5"/>
    </row>
    <row r="6" spans="2:183" x14ac:dyDescent="0.25">
      <c r="BJ6" s="14"/>
    </row>
    <row r="7" spans="2:183" x14ac:dyDescent="0.25">
      <c r="BJ7" s="15"/>
    </row>
    <row r="8" spans="2:183" x14ac:dyDescent="0.25">
      <c r="BJ8" s="5"/>
    </row>
    <row r="9" spans="2:183" x14ac:dyDescent="0.25">
      <c r="BJ9" s="7"/>
    </row>
    <row r="10" spans="2:183" x14ac:dyDescent="0.25">
      <c r="BJ10" s="12"/>
    </row>
    <row r="11" spans="2:183" x14ac:dyDescent="0.25">
      <c r="BJ11" s="9"/>
    </row>
    <row r="12" spans="2:183" x14ac:dyDescent="0.25">
      <c r="BJ12" s="16"/>
    </row>
    <row r="13" spans="2:183" x14ac:dyDescent="0.25">
      <c r="BJ13" s="21"/>
    </row>
    <row r="14" spans="2:183" x14ac:dyDescent="0.25">
      <c r="BJ14" s="25"/>
    </row>
    <row r="15" spans="2:183" x14ac:dyDescent="0.25">
      <c r="BJ15" s="26"/>
    </row>
    <row r="16" spans="2:183" x14ac:dyDescent="0.25">
      <c r="BJ16" s="27"/>
    </row>
    <row r="17" spans="62:62" x14ac:dyDescent="0.25">
      <c r="BJ17" s="31"/>
    </row>
    <row r="18" spans="62:62" x14ac:dyDescent="0.25">
      <c r="BJ18" s="28"/>
    </row>
    <row r="19" spans="62:62" x14ac:dyDescent="0.25">
      <c r="BJ19" s="34" t="s">
        <v>94</v>
      </c>
    </row>
    <row r="20" spans="62:62" x14ac:dyDescent="0.25">
      <c r="BJ20" s="34" t="s">
        <v>96</v>
      </c>
    </row>
    <row r="21" spans="62:62" x14ac:dyDescent="0.25">
      <c r="BJ21" s="36"/>
    </row>
  </sheetData>
  <sheetProtection formatCells="0" formatColumns="0" formatRows="0" insertColumns="0" insertHyperlinks="0" sort="0" autoFilter="0" pivotTables="0"/>
  <sortState ref="B5:AW20">
    <sortCondition ref="J5:J20"/>
  </sortState>
  <mergeCells count="2">
    <mergeCell ref="C2:D2"/>
    <mergeCell ref="C3:D3"/>
  </mergeCells>
  <conditionalFormatting sqref="N5:AA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ShowHideFilters">
          <controlPr defaultSize="0" autoLine="0" r:id="rId5">
            <anchor moveWithCells="1">
              <from>
                <xdr:col>0</xdr:col>
                <xdr:colOff>600075</xdr:colOff>
                <xdr:row>0</xdr:row>
                <xdr:rowOff>180975</xdr:rowOff>
              </from>
              <to>
                <xdr:col>2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1030" r:id="rId4" name="CmdShowHideFilters"/>
      </mc:Fallback>
    </mc:AlternateContent>
    <mc:AlternateContent xmlns:mc="http://schemas.openxmlformats.org/markup-compatibility/2006">
      <mc:Choice Requires="x14">
        <control shapeId="1029" r:id="rId6" name="CmdShowHideY2">
          <controlPr defaultSize="0" autoLine="0" r:id="rId7">
            <anchor moveWithCells="1">
              <from>
                <xdr:col>3</xdr:col>
                <xdr:colOff>1485900</xdr:colOff>
                <xdr:row>0</xdr:row>
                <xdr:rowOff>171450</xdr:rowOff>
              </from>
              <to>
                <xdr:col>5</xdr:col>
                <xdr:colOff>180975</xdr:colOff>
                <xdr:row>0</xdr:row>
                <xdr:rowOff>485775</xdr:rowOff>
              </to>
            </anchor>
          </controlPr>
        </control>
      </mc:Choice>
      <mc:Fallback>
        <control shapeId="1029" r:id="rId6" name="CmdShowHideY2"/>
      </mc:Fallback>
    </mc:AlternateContent>
    <mc:AlternateContent xmlns:mc="http://schemas.openxmlformats.org/markup-compatibility/2006">
      <mc:Choice Requires="x14">
        <control shapeId="1028" r:id="rId8" name="CmdShowHideY1">
          <controlPr defaultSize="0" autoLine="0" r:id="rId9">
            <anchor moveWithCells="1">
              <from>
                <xdr:col>2</xdr:col>
                <xdr:colOff>752475</xdr:colOff>
                <xdr:row>0</xdr:row>
                <xdr:rowOff>180975</xdr:rowOff>
              </from>
              <to>
                <xdr:col>3</xdr:col>
                <xdr:colOff>1390650</xdr:colOff>
                <xdr:row>0</xdr:row>
                <xdr:rowOff>495300</xdr:rowOff>
              </to>
            </anchor>
          </controlPr>
        </control>
      </mc:Choice>
      <mc:Fallback>
        <control shapeId="1028" r:id="rId8" name="CmdShowHideY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"/>
  <sheetViews>
    <sheetView workbookViewId="0">
      <selection activeCell="E1" sqref="E1"/>
    </sheetView>
  </sheetViews>
  <sheetFormatPr defaultRowHeight="15" x14ac:dyDescent="0.25"/>
  <sheetData>
    <row r="1" spans="1:5" x14ac:dyDescent="0.25">
      <c r="A1" t="s">
        <v>12</v>
      </c>
      <c r="B1">
        <v>1</v>
      </c>
      <c r="C1">
        <v>1</v>
      </c>
      <c r="D1" t="s">
        <v>0</v>
      </c>
      <c r="E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F11"/>
  <sheetViews>
    <sheetView workbookViewId="0"/>
  </sheetViews>
  <sheetFormatPr defaultRowHeight="15" x14ac:dyDescent="0.25"/>
  <sheetData>
    <row r="1" spans="1:58" x14ac:dyDescent="0.25">
      <c r="A1">
        <v>2</v>
      </c>
      <c r="B1">
        <v>15</v>
      </c>
    </row>
    <row r="2" spans="1:58" x14ac:dyDescent="0.25">
      <c r="A2" t="s">
        <v>1</v>
      </c>
      <c r="C2" t="s">
        <v>115</v>
      </c>
    </row>
    <row r="3" spans="1:58" x14ac:dyDescent="0.25">
      <c r="A3" t="s">
        <v>2</v>
      </c>
      <c r="B3" t="str">
        <f>'LE data'!1:1048576</f>
        <v>#{bindings.ProcessComments.label}</v>
      </c>
      <c r="C3" t="s">
        <v>116</v>
      </c>
    </row>
    <row r="4" spans="1:58" x14ac:dyDescent="0.25">
      <c r="A4" t="s">
        <v>3</v>
      </c>
      <c r="B4" t="str">
        <f>'LE data'!$B$4</f>
        <v>#{bindings.EstimateView.hints.DevelopmentPhaseName.label}</v>
      </c>
      <c r="C4" t="str">
        <f>_ADFDI_Metadata!$C$5</f>
        <v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ID="EstimateView" /&gt;&lt;UniqueAttribute /&gt;&lt;Columns Annotation="DevelopmentPhaseName" ID="DevelopmentPhaseName"&gt;&lt;HeaderStyleName&gt;&lt;Value&gt;IPMS_TableHeader&lt;/Value&gt;&lt;/HeaderStyleName&gt;&lt;HeaderLabel&gt;&lt;Value&gt;#{bindings.EstimateView.hints.DevelopmentPhaseName.label}&lt;/Value&gt;&lt;/HeaderLabel&gt;&lt;CellStyleName&gt;&lt;Value&gt;=IF(IF("#{row.bindings.GroupingType.inputValue}"="",9,#{row.bindings.GroupingType.inputValue})&amp;lt;2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evelopmentPhaseName.inputValue}&lt;/Value&gt;&lt;/Value&gt;&lt;ReadOnly&gt;&lt;Value&gt;True&lt;/Value&gt;&lt;/ReadOnly&gt;&lt;/UpdateComponent&gt;&lt;/Columns&gt;&lt;Columns Annotation="ProjectSbeName" ID="ProjectSbeName"&gt;&lt;HeaderStyleName&gt;&lt;Value&gt;IPMS_TableHeader&lt;/Value&gt;&lt;/HeaderStyleName&gt;&lt;HeaderLabel&gt;&lt;Value&gt;#{bindings.EstimateView.hints.ProjectSbeName.label}&lt;/Value&gt;&lt;/HeaderLabel&gt;&lt;CellStyleName&gt;&lt;Value&gt;=IF(IF("#{row.bindings.GroupingType.inputValue}"="",9,#{row.bindings.GroupingType.inputValue})&amp;lt;3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SbeName.inputValue}&lt;/Value&gt;&lt;/Value&gt;&lt;ReadOnly&gt;&lt;Value&gt;True&lt;/Value&gt;&lt;/ReadOnly&gt;&lt;/UpdateComponent&gt;&lt;/Columns&gt;&lt;Columns Annotation="ProgramName" ID="ProgramName"&gt;&lt;HeaderStyleName&gt;&lt;Value&gt;IPMS_TableHeader&lt;/Value&gt;&lt;/HeaderStyleName&gt;&lt;HeaderLabel&gt;&lt;Value&gt;#{bindings.EstimateView.hints.ProgramName.label}&lt;/Value&gt;&lt;/HeaderLabel&gt;&lt;CellStyleName&gt;&lt;Value&gt;=IF(IF("#{row.bindings.GroupingType.inputValue}"="",9,#{row.bindings.GroupingType.inputValue})&amp;lt;4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gramName.inputValue}&lt;/Value&gt;&lt;/Value&gt;&lt;ReadOnly&gt;&lt;Value&gt;True&lt;/Value&gt;&lt;/ReadOnly&gt;&lt;/UpdateComponent&gt;&lt;/Columns&gt;&lt;Columns Annotation="ProjectCode" ID="COL1054718524"&gt;&lt;HeaderStyleName&gt;&lt;Value&gt;IPMS_TableHeader&lt;/Value&gt;&lt;/HeaderStyleName&gt;&lt;HeaderLabel&gt;&lt;Value&gt;#{bindings.EstimateView.hints.ProjectCode.label}&lt;/Value&gt;&lt;/HeaderLabel&gt;&lt;CellStyleName&gt;&lt;Value&gt;=IF(OR("#{row.bindings.GroupingType.inputValue}"=""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Code.inputValue}&lt;/Value&gt;&lt;/Value&gt;&lt;ReadOnly&gt;&lt;Value&gt;True&lt;/Value&gt;&lt;/ReadOnly&gt;&lt;/UpdateComponent&gt;&lt;/Columns&gt;&lt;Columns Annotation="ProjectName" ID="ProjectName"&gt;&lt;HeaderStyleName&gt;&lt;Value&gt;IPMS_TableHeader&lt;/Value&gt;&lt;/HeaderStyleName&gt;&lt;HeaderLabel&gt;&lt;Value&gt;#{bindings.EstimateView.hints.ProjectName.label}&lt;/Value&gt;&lt;/HeaderLabel&gt;&lt;CellStyleName&gt;&lt;Value&gt;=IF(OR("#{row.bindings.GroupingType.inputValue}"=""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Name.inputValue}&lt;/Value&gt;&lt;/Value&gt;&lt;ReadOnly&gt;&lt;Value&gt;True&lt;/Value&gt;&lt;/ReadOnly&gt;&lt;/UpdateComponent&gt;&lt;/Columns&gt;&lt;Columns Annotation="ProjectFundY1" ID="ProjectFundY1"&gt;&lt;HeaderStyleName&gt;&lt;Value&gt;IPMS_TableHeader&lt;/Value&gt;&lt;/HeaderStyleName&gt;&lt;HeaderLabel&gt;&lt;Value&gt;GPDC Funding Release (#{bindings.ProcessYear})&lt;/Value&gt;&lt;/HeaderLabel&gt;&lt;CellStyleName&gt;&lt;Value&gt;=IF(OR("#{row.bindings.GroupingType.inputValue}"="","#{row.bindings.GroupingType.inputValue}"="5"),"IPMS_TableCell_Text_ReadOnly",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/&gt;&lt;/DoubleClickActionSet&gt;&lt;Value&gt;&lt;Value&gt;#{row.bindings.ProjectFundY1.inputValue}&lt;/Value&gt;&lt;/Value&gt;&lt;ReadOnly&gt;&lt;Value&gt;True&lt;/Value&gt;&lt;/ReadOnly&gt;&lt;/UpdateComponent&gt;&lt;/Columns&gt;&lt;Columns Annotation="ProjectFundY2" ID="ProjectFundY2"&gt;&lt;HeaderStyleName&gt;&lt;Value&gt;IPMS_TableHeader&lt;/Value&gt;&lt;/HeaderStyleName&gt;&lt;HeaderLabel&gt;&lt;Value&gt;=concatenate("GPDC Funding Release (",#{bindings.ProcessYear}+1,")")&lt;/Value&gt;&lt;/HeaderLabel&gt;&lt;CellStyleName&gt;&lt;Value&gt;=IF(OR("#{row.bindings.GroupingType.inputValue}"="","#{row.bindings.GroupingType.inputValue}"="5"),"IPMS_TableCell_Text_ReadOnly",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/&gt;&lt;/DoubleClickActionSet&gt;&lt;Value&gt;&lt;Value&gt;#{row.bindings.ProjectFundY2.inputValue}&lt;/Value&gt;&lt;/Value&gt;&lt;ReadOnly&gt;&lt;Value&gt;True&lt;/Value&gt;&lt;/ReadOnly&gt;&lt;/UpdateComponent&gt;&lt;/Columns&gt;&lt;Columns Annotation="StudyStatusName" ID="StudyStatusName"&gt;&lt;HeaderStyleName&gt;&lt;Value&gt;IPMS_TableHeader&lt;/Value&gt;&lt;/HeaderStyleName&gt;&lt;HeaderLabel&gt;&lt;Value&gt;#{bindings.EstimateView.hints.StudyStatusName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StatusName.inputValue}&lt;/Value&gt;&lt;/Value&gt;&lt;ReadOnly&gt;&lt;Value&gt;True&lt;/Value&gt;&lt;/ReadOnly&gt;&lt;/UpdateComponent&gt;&lt;/Columns&gt;&lt;Columns Annotation="StudyPhase" ID="StudyPhase"&gt;&lt;HeaderStyleName&gt;&lt;Value&gt;IPMS_TableHeader&lt;/Value&gt;&lt;/HeaderStyleName&gt;&lt;HeaderLabel&gt;&lt;Value&gt;#{bindings.EstimateView.hints.StudyPhase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Phase.inputValue}&lt;/Value&gt;&lt;/Value&gt;&lt;ReadOnly&gt;&lt;Value&gt;True&lt;/Value&gt;&lt;/ReadOnly&gt;&lt;/UpdateComponent&gt;&lt;/Columns&gt;&lt;Columns Annotation="StudyId" ID="StudyId"&gt;&lt;HeaderStyleName&gt;&lt;Value&gt;IPMS_TableHeader&lt;/Value&gt;&lt;/HeaderStyleName&gt;&lt;HeaderLabel&gt;&lt;Value&gt;#{bindings.EstimateView.hints.StudyId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Id.inputValue}&lt;/Value&gt;&lt;/Value&gt;&lt;ReadOnly&gt;&lt;Value&gt;True&lt;/Value&gt;&lt;/ReadOnly&gt;&lt;/UpdateComponent&gt;&lt;/Columns&gt;&lt;Columns Annotation="StudyName" ID="StudyName"&gt;&lt;HeaderStyleName&gt;&lt;Value&gt;IPMS_TableHeader&lt;/Value&gt;&lt;/HeaderStyleName&gt;&lt;HeaderLabel&gt;&lt;Value&gt;#{bindings.EstimateView.hints.StudyName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Name.inputValue}&lt;/Value&gt;&lt;/Value&gt;&lt;ReadOnly&gt;&lt;Value&gt;True&lt;/Value&gt;&lt;/ReadOnly&gt;&lt;/UpdateComponent&gt;&lt;/Columns&gt;&lt;Columns Annotation="StudyFpfv" ID="StudyFpfv"&gt;&lt;HeaderStyleName&gt;&lt;Value&gt;IPMS_TableHeader&lt;/Value&gt;&lt;/HeaderStyleName&gt;&lt;HeaderLabel&gt;&lt;Value&gt;#{bindings.EstimateView.hints.StudyFpfv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Fpfv.inputValue}&lt;/Value&gt;&lt;/Value&gt;&lt;ReadOnly&gt;&lt;Value&gt;True&lt;/Value&gt;&lt;/ReadOnly&gt;&lt;/UpdateComponent&gt;&lt;/Columns&gt;&lt;Columns Annotation="StudyLplv" ID="StudyLplv"&gt;&lt;HeaderStyleName&gt;&lt;Value&gt;IPMS_TableHeader&lt;/Value&gt;&lt;/HeaderStyleName&gt;&lt;HeaderLabel&gt;&lt;Value&gt;#{bindings.EstimateView.hints.StudyLplv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Lplv.inputValue}&lt;/Value&gt;&lt;/Value&gt;&lt;ReadOnly&gt;&lt;Value&gt;True&lt;/Value&gt;&lt;/ReadOnly&gt;&lt;/UpdateComponent&gt;&lt;/Columns&gt;&lt;Columns Annotation="StudyObligation" ID="StudyObligation"&gt;&lt;HeaderStyleName&gt;&lt;Value&gt;IPMS_TableHeader&lt;/Value&gt;&lt;/HeaderStyleName&gt;&lt;HeaderLabel&gt;&lt;Value&gt;#{bindings.EstimateView.hints.StudyIsObligation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/&gt;&lt;/DoubleClickActionSet&gt;&lt;Value&gt;&lt;Value&gt;#{row.bindings.StudyIsObligation.inputValue}&lt;/Value&gt;&lt;/Value&gt;&lt;ReadOnly&gt;&lt;Value&gt;True&lt;/Value&gt;&lt;/ReadOnly&gt;&lt;/UpdateComponent&gt;&lt;/Columns&gt;&lt;Columns Annotation="StudyProbing" ID="StudyProbing"&gt;&lt;HeaderStyleName&gt;&lt;Value&gt;IPMS_TableHeader&lt;/Value&gt;&lt;/HeaderStyleName&gt;&lt;HeaderLabel&gt;&lt;Value&gt;#{bindings.EstimateView.hints.StudyIsProbing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/&gt;&lt;/DoubleClickActionSet&gt;&lt;Value&gt;&lt;Value&gt;#{row.bindings.StudyIsProbing.inputValue}&lt;/Value&gt;&lt;/Value&gt;&lt;ReadOnly&gt;&lt;Value&gt;True&lt;/Value&gt;&lt;/ReadOnly&gt;&lt;/UpdateComponent&gt;&lt;/Columns&gt;&lt;Columns Annotation="StudyGpdcApproved" ID="StudyGpdcApproved"&gt;&lt;HeaderStyleName&gt;&lt;Value&gt;IPMS_TableHeader&lt;/Value&gt;&lt;/HeaderStyleName&gt;&lt;HeaderLabel&gt;&lt;Value&gt;#{bindings.EstimateView.hints.StudyIsGpdcApproved.label}&lt;/Value&gt;&lt;/HeaderLabel&gt;&lt;CellStyleName&gt;&lt;Value&gt;=IF("#{row.bindings.GroupingType.inputValue}"=""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/&gt;&lt;/DoubleClickActionSet&gt;&lt;Value&gt;&lt;Value&gt;#{row.bindings.StudyIsGpdcApproved.inputValue}&lt;/Value&gt;&lt;/Value&gt;&lt;ReadOnly&gt;&lt;Value&gt;True&lt;/Value&gt;&lt;/ReadOnly&gt;&lt;/UpdateComponent&gt;&lt;/Columns&gt;&lt;Columns Annotation="FunctionName" ID="FunctionName"&gt;&lt;HeaderStyleName&gt;&lt;Value&gt;IPMS_TableHeader&lt;/Value&gt;&lt;/HeaderStyleName&gt;&lt;HeaderLabel&gt;&lt;Value&gt;#{bindings.EstimateView.hints.FunctionName.label}&lt;/Value&gt;&lt;/HeaderLabel&gt;&lt;CellStyleName&gt;&lt;Value&gt;=IF("#{row.bindings.GroupingType.inputValue}"=""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FunctionName.inputValue}&lt;/Value&gt;&lt;/Value&gt;&lt;ReadOnly&gt;&lt;Value&gt;True&lt;/Value&gt;&lt;/ReadOnly&gt;&lt;/UpdateComponent&gt;&lt;/Columns&gt;&lt;Columns Annotation="CurrBudgetDeterministic" ID="CurrBudgetDeterministic"&gt;&lt;HeaderStyleName&gt;&lt;Value&gt;IPMS_TableHeader_Budget&lt;/Value&gt;&lt;/HeaderStyleName&gt;&lt;HeaderLabel&gt;&lt;Value&gt;Budget (d,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"=SUMIFS(n,_x000D_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"#{row.bindings.CurrBudgetDeterministic.inputValue}")&lt;/Value&gt;&lt;/Value&gt;&lt;ReadOnly&gt;&lt;Value&gt;True&lt;/Value&gt;&lt;/ReadOnly&gt;&lt;/UpdateComponent&gt;&lt;/Columns&gt;&lt;Columns Annotation="CurrBudgetProbabilistic" ID="CurrBudgetProbabilistic"&gt;&lt;HeaderStyleName&gt;&lt;Value&gt;IPMS_TableHeader_Budget&lt;/Value&gt;&lt;/HeaderStyleName&gt;&lt;HeaderLabel&gt;&lt;Value&gt;Budget (p,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"=SUMIFS(o,_x000D_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"#{row.bindings.CurrBudgetProbabilistic.inputValue}")&lt;/Value&gt;&lt;/Value&gt;&lt;ReadOnly&gt;&lt;Value&gt;True&lt;/Value&gt;&lt;/ReadOnly&gt;&lt;/UpdateComponent&gt;&lt;/Columns&gt;&lt;Columns Annotation="CurrForecastDeterministic" ID="CurrForecastDeterministic"&gt;&lt;HeaderStyleName&gt;&lt;Value&gt;IPMS_TableHeader_Forecast&lt;/Value&gt;&lt;/HeaderStyleName&gt;&lt;HeaderLabel&gt;&lt;Value&gt;FC#{bindings.CostsForecastNumberVersion} _x000D_
(d,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"=SUMIFS(p,_x000D_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"#{row.bindings.CurrForecastDeterministic.inputValue}")&lt;/Value&gt;&lt;/Value&gt;&lt;ReadOnly&gt;&lt;Value&gt;True&lt;/Value&gt;&lt;/ReadOnly&gt;&lt;/UpdateComponent&gt;&lt;/Columns&gt;&lt;Columns Annotation="CurrForecastProbabilistic" ID="CurrForecastProbabilistic"&gt;&lt;HeaderStyleName&gt;&lt;Value&gt;IPMS_TableHeader_Forecast&lt;/Value&gt;&lt;/HeaderStyleName&gt;&lt;HeaderLabel&gt;&lt;Value&gt;FC#{bindings.CostsForecastNumberVersion} _x000D_
(p,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"=SUMIFS(q,_x000D_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"#{row.bindings.CurrForecastProbabilistic.inputValue}")&lt;/Value&gt;&lt;/Value&gt;&lt;ReadOnly&gt;&lt;Value&gt;True&lt;/Value&gt;&lt;/ReadOnly&gt;&lt;/UpdateComponent&gt;&lt;/Columns&gt;&lt;Columns Annotation="CurrActualsDeterministic" ID="CurrActualsDeterministic"&gt;&lt;HeaderStyleName&gt;&lt;Value&gt;IPMS_TableHeader_Actuals&lt;/Value&gt;&lt;/HeaderStyleName&gt;&lt;HeaderLabel&gt;&lt;Value&gt;Actuals (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"=SUMIFS(_r,_x000D_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"#{row.bindings.CurrActualsDeterministic.inputValue}")&lt;/Value&gt;&lt;/Value&gt;&lt;ReadOnly&gt;&lt;Value&gt;True&lt;/Value&gt;&lt;/ReadOnly&gt;&lt;/UpdateComponent&gt;&lt;/Columns&gt;&lt;Columns Annotation="CurrRunrateDeterministic" ID="CurrRunrateDeterministic"&gt;&lt;HeaderStyleName&gt;&lt;Value&gt;IPMS_TableHeader_RR&lt;/Value&gt;&lt;/HeaderStyleName&gt;&lt;HeaderLabel&gt;&lt;Value&gt;RR (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"#{row.bindings.GroupingType.inputValue}"&amp;lt;&amp;gt;"",_x000D_
"=SUMIFS(_s,_x000D_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"#{row.bindings.CurrRunrateDeterministic.inputValue}")&lt;/Value&gt;&lt;/Value&gt;&lt;ReadOnly&gt;&lt;Value&gt;True&lt;/Value&gt;&lt;/ReadOnly&gt;&lt;/UpdateComponent&gt;&lt;/Columns&gt;&lt;Columns Annotation="CurrCForecastProbabilistic" ID="CurrCForecastProbabilistic"&gt;&lt;HeaderStyleName&gt;&lt;Value&gt;IPMS_TableHeader_cFC&lt;/Value&gt;&lt;/HeaderStyleName&gt;&lt;HeaderLabel&gt;&lt;Value&gt;CalcFC _x000D_
(p, #{bindings.ProcessYear})&lt;/Value&gt;&lt;/HeaderLabel&gt;&lt;CellStyleName&gt;&lt;Value&gt;=IF("#{row.bindings.GroupingType.inputValue}"&amp;lt;&amp;gt;""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/&gt;&lt;/DoubleClickActionSet&gt;&lt;Value&gt;&lt;Value&gt;=IF("#{row.bindings.GroupingType.inputValue}"&amp;lt;&amp;gt;"",_x000D_
"=SUMIFS(a,_x000D_
av,"""",_x000D_
aq,""#{row.bindings.DevelopmentPhaseCode.inputValue}"",_x000D_
IF(#{row.bindings.GroupingType.inputValue}&amp;gt;1,ar,aw),IF(#{row.bindings.GroupingType.inputValue}&amp;gt;1,""#{row.bindings.ProjectSbeCode.inputValue}"",""""),_x000D_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"#{row.bindings.CurrCforecastProbabilistic.inputValue}")&lt;/Value&gt;&lt;/Value&gt;&lt;ReadOnly&gt;&lt;Value&gt;True&lt;/Value&gt;&lt;/ReadOnly&gt;&lt;/UpdateComponent&gt;&lt;/Columns&gt;&lt;Columns Annotation="EstimateDetCurrYear" ID="EstimateDetCurrYear"&gt;&lt;HeaderStyleName&gt;&lt;Value&gt;IPMS_TableHeader&lt;/Value&gt;&lt;/HeaderStyleName&gt;&lt;HeaderLabel&gt;&lt;Value&gt;#{bindings.ProcessYear} LE (d)&lt;/Value&gt;&lt;/HeaderLabel&gt;&lt;CellStyleName&gt;&lt;Value&gt;=IF("#{row.bindings.GroupingType.inputValue}"&amp;lt;&amp;gt;"","IPMS_TableCell_Number_Total",IF("#{row.bindings.StudyStatusCode.inputValue}"="OTHE</v>
      </c>
      <c r="D4" t="str">
        <f>'LE data'!$C$4</f>
        <v>#{bindings.EstimateView.hints.ProjectSbeName.label}</v>
      </c>
      <c r="E4" t="str">
        <f>'LE data'!$D$4</f>
        <v>#{bindings.EstimateView.hints.ProgramName.label}</v>
      </c>
      <c r="F4" t="str">
        <f>'LE data'!$E$4</f>
        <v>#{bindings.EstimateView.hints.ProjectCode.label}</v>
      </c>
      <c r="G4" t="str">
        <f>'LE data'!$F$4</f>
        <v>#{bindings.EstimateView.hints.ProjectName.label}</v>
      </c>
      <c r="H4" t="str">
        <f>'LE data'!$G$4</f>
        <v>GPDC Funding Release (#{bindings.ProcessYear})</v>
      </c>
      <c r="I4" t="str">
        <f>'LE data'!$H$4</f>
        <v>=concatenate("GPDC Funding Release (",#{bindings.ProcessYear}+1,")")</v>
      </c>
      <c r="J4" t="str">
        <f>'LE data'!$I$4</f>
        <v>#{bindings.EstimateView.hints.StudyStatusName.label}</v>
      </c>
      <c r="K4" t="str">
        <f>'LE data'!$J$4</f>
        <v>#{bindings.EstimateView.hints.StudyPhase.label}</v>
      </c>
      <c r="L4" t="str">
        <f>'LE data'!$K$4</f>
        <v>#{bindings.EstimateView.hints.StudyId.label}</v>
      </c>
      <c r="M4" t="str">
        <f>'LE data'!$L$4</f>
        <v>#{bindings.EstimateView.hints.StudyName.label}</v>
      </c>
      <c r="N4" t="str">
        <f>'LE data'!$M$4</f>
        <v>#{bindings.EstimateView.hints.StudyFpfv.label}</v>
      </c>
      <c r="O4" t="str">
        <f>'LE data'!$N$4</f>
        <v>#{bindings.EstimateView.hints.StudyLplv.label}</v>
      </c>
      <c r="P4" t="str">
        <f>'LE data'!$O$4</f>
        <v>#{bindings.EstimateView.hints.StudyIsObligation.label}</v>
      </c>
      <c r="Q4" t="str">
        <f>'LE data'!$P$4</f>
        <v>#{bindings.EstimateView.hints.StudyIsProbing.label}</v>
      </c>
      <c r="R4" t="str">
        <f>'LE data'!$Q$4</f>
        <v>#{bindings.EstimateView.hints.StudyIsGpdcApproved.label}</v>
      </c>
      <c r="S4" t="str">
        <f>'LE data'!$R$4</f>
        <v>#{bindings.EstimateView.hints.FunctionName.label}</v>
      </c>
      <c r="T4" t="str">
        <f>'LE data'!$S$4</f>
        <v>Budget (d, #{bindings.ProcessYear})</v>
      </c>
      <c r="U4" t="str">
        <f>'LE data'!$T$4</f>
        <v>Budget (p, #{bindings.ProcessYear})</v>
      </c>
      <c r="V4" t="str">
        <f>'LE data'!$U$4</f>
        <v>FC#{bindings.CostsForecastNumberVersion} 
(d, #{bindings.ProcessYear})</v>
      </c>
      <c r="W4" t="str">
        <f>'LE data'!$V$4</f>
        <v>FC#{bindings.CostsForecastNumberVersion} 
(p, #{bindings.ProcessYear})</v>
      </c>
      <c r="X4" t="str">
        <f>'LE data'!$W$4</f>
        <v>Actuals (#{bindings.ProcessYear})</v>
      </c>
      <c r="Y4" t="str">
        <f>'LE data'!$X$4</f>
        <v>RR (#{bindings.ProcessYear})</v>
      </c>
      <c r="Z4" t="str">
        <f>'LE data'!$Y$4</f>
        <v>CalcFC 
(p, #{bindings.ProcessYear})</v>
      </c>
      <c r="AA4" t="str">
        <f>'LE data'!$Z$4</f>
        <v>#{bindings.ProcessYear} LE (d)</v>
      </c>
      <c r="AB4" t="str">
        <f>'LE data'!$AA$4</f>
        <v>#{bindings.ProcessYear} LE (p)</v>
      </c>
      <c r="AC4" t="str">
        <f>'LE data'!$AB$4</f>
        <v>#{bindings.EstimateView.hints.CommentsCurrYear.label}</v>
      </c>
      <c r="AD4" t="str">
        <f>'LE data'!$AC$4</f>
        <v>=concatenate("Budget (d, ",#{bindings.ProcessYear}+1,")")</v>
      </c>
      <c r="AE4" t="str">
        <f>'LE data'!$AD$4</f>
        <v>=concatenate("Budget (p, ",#{bindings.ProcessYear}+1,")")</v>
      </c>
      <c r="AF4" t="str">
        <f>'LE data'!$AE$4</f>
        <v>=concatenate("FC#{bindings.CostsForecastNumberVersion}
(d, ",#{bindings.ProcessYear}+1,")")</v>
      </c>
      <c r="AG4" t="str">
        <f>'LE data'!$AF$4</f>
        <v>=concatenate("FC#{bindings.CostsForecastNumberVersion}
(p, ",#{bindings.ProcessYear}+1,")")</v>
      </c>
      <c r="AH4" t="str">
        <f>'LE data'!$AG$4</f>
        <v>=concatenate("CalcFC (p, ",#{bindings.ProcessYear}+1,")")</v>
      </c>
      <c r="AI4" t="str">
        <f>'LE data'!$AH$4</f>
        <v>=concatenate(#{bindings.ProcessYear}+1," LE (d)")</v>
      </c>
      <c r="AJ4" t="str">
        <f>'LE data'!$AI$4</f>
        <v>=concatenate(#{bindings.ProcessYear}+1," LE (p)")</v>
      </c>
      <c r="AK4" t="str">
        <f>'LE data'!$AJ$4</f>
        <v>#{bindings.EstimateView.hints.CommentsNextYear.label}</v>
      </c>
      <c r="AL4" t="str">
        <f>'LE data'!$AK$4</f>
        <v>#{bindings.EstimateView.hints.EstimateDetCurrYear.label} - Service (DO NOT EDIT!)</v>
      </c>
      <c r="AM4" t="str">
        <f>'LE data'!$AL$4</f>
        <v>#{bindings.EstimateView.hints.EstimateProbCurrYear.label} - Service (DO NOT EDIT!)</v>
      </c>
      <c r="AN4" t="str">
        <f>'LE data'!$AM$4</f>
        <v>#{bindings.EstimateView.hints.EstimateDetNextYear.label} - Service (DO NOT EDIT!)</v>
      </c>
      <c r="AO4" t="str">
        <f>'LE data'!$AN$4</f>
        <v>#{bindings.EstimateView.hints.EstimateProbNextYear.label} - Service (DO NOT EDIT!)</v>
      </c>
      <c r="AP4" t="str">
        <f>'LE data'!$AO$4</f>
        <v>Changed</v>
      </c>
      <c r="AQ4" t="str">
        <f>'LE data'!$AP$4</f>
        <v>Status</v>
      </c>
      <c r="AR4" t="str">
        <f>'LE data'!$AQ$4</f>
        <v>#{_ADFDIres[COMPONENTS_TABLE_FLAGGED_COL_LABEL]}</v>
      </c>
      <c r="AS4" t="str">
        <f>'LE data'!$AR$4</f>
        <v>#{_ADFDIres[COMPONENTS_TABLE_ROWKEY_COL_LABEL]} - Service</v>
      </c>
      <c r="AT4" t="str">
        <f>'LE data'!$AS$4</f>
        <v>Reserved</v>
      </c>
      <c r="AU4" t="str">
        <f>'LE data'!$AT$4</f>
        <v>Reserved</v>
      </c>
      <c r="AV4" t="str">
        <f>'LE data'!$AU$4</f>
        <v>Reserved</v>
      </c>
      <c r="AW4" t="str">
        <f>'LE data'!$AV$4</f>
        <v>Reserved</v>
      </c>
      <c r="AX4" t="str">
        <f>'LE data'!$AW$4</f>
        <v>Reserved</v>
      </c>
      <c r="AY4" t="str">
        <f>'LE data'!$AX$4</f>
        <v>Reserved</v>
      </c>
      <c r="AZ4" t="str">
        <f>'LE data'!$AY$4</f>
        <v>#{bindings.EstimateView.hints.DevelopmentPhaseCode.label} - Service</v>
      </c>
      <c r="BA4" t="str">
        <f>'LE data'!$AZ$4</f>
        <v>#{bindings.EstimateView.hints.ProjectSbeCode.label} - Service</v>
      </c>
      <c r="BB4" t="str">
        <f>'LE data'!$BA$4</f>
        <v>#{bindings.EstimateView.hints.ProgramId.label} - Service</v>
      </c>
      <c r="BC4" t="str">
        <f>'LE data'!$BB$4</f>
        <v>#{bindings.EstimateView.hints.ProjectId.label} - Service</v>
      </c>
      <c r="BD4" t="str">
        <f>'LE data'!$BC$4</f>
        <v>#{bindings.EstimateView.hints.StudyStatusCode.label} - Service</v>
      </c>
      <c r="BE4" t="str">
        <f>'LE data'!$BD$4</f>
        <v>#{bindings.EstimateView.hints.GroupingType.label} - Service</v>
      </c>
      <c r="BF4" t="str">
        <f>'LE data'!$BE$4</f>
        <v>EmptyColumn - Service</v>
      </c>
    </row>
    <row r="5" spans="1:58" ht="409.5" x14ac:dyDescent="0.25">
      <c r="A5" t="s">
        <v>4</v>
      </c>
      <c r="C5" s="8" t="s">
        <v>113</v>
      </c>
      <c r="D5" s="8" t="s">
        <v>117</v>
      </c>
      <c r="E5" s="35" t="s">
        <v>118</v>
      </c>
    </row>
    <row r="6" spans="1:58" x14ac:dyDescent="0.25">
      <c r="A6" t="s">
        <v>6</v>
      </c>
      <c r="B6" t="str">
        <f>'LE data'!$B$2</f>
        <v>#{bindings.ProcessName.label}</v>
      </c>
      <c r="C6" t="s">
        <v>7</v>
      </c>
    </row>
    <row r="7" spans="1:58" x14ac:dyDescent="0.25">
      <c r="A7" t="s">
        <v>6</v>
      </c>
      <c r="B7" t="str">
        <f>'LE data'!$B$3</f>
        <v>#{bindings.ProcessComments.label}</v>
      </c>
      <c r="C7" t="s">
        <v>8</v>
      </c>
    </row>
    <row r="8" spans="1:58" x14ac:dyDescent="0.25">
      <c r="A8" t="s">
        <v>5</v>
      </c>
      <c r="B8" s="4" t="str">
        <f>'LE data'!$C$2</f>
        <v>#{bindings.ProcessName}</v>
      </c>
      <c r="C8" t="s">
        <v>10</v>
      </c>
    </row>
    <row r="9" spans="1:58" x14ac:dyDescent="0.25">
      <c r="A9" t="s">
        <v>5</v>
      </c>
      <c r="B9" s="4" t="str">
        <f>'LE data'!$C$3</f>
        <v>#{bindings.ProcessComments}</v>
      </c>
      <c r="C9" t="s">
        <v>11</v>
      </c>
    </row>
    <row r="10" spans="1:58" x14ac:dyDescent="0.25">
      <c r="A10" t="s">
        <v>5</v>
      </c>
      <c r="B10" t="str">
        <f>'LE data'!$BJ$19</f>
        <v>#{bindings.ProcessIsNextYear}</v>
      </c>
      <c r="C10" t="s">
        <v>107</v>
      </c>
    </row>
    <row r="11" spans="1:58" x14ac:dyDescent="0.25">
      <c r="A11" t="s">
        <v>5</v>
      </c>
      <c r="B11" t="str">
        <f>'LE data'!$BJ$20</f>
        <v>#{bindings.StatusCode}</v>
      </c>
      <c r="C11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LE data</vt:lpstr>
      <vt:lpstr>_ADFDI_Parameters</vt:lpstr>
      <vt:lpstr>_ADFDI_Metadata</vt:lpstr>
      <vt:lpstr>_r</vt:lpstr>
      <vt:lpstr>_s</vt:lpstr>
      <vt:lpstr>_z</vt:lpstr>
      <vt:lpstr>a</vt:lpstr>
      <vt:lpstr>aa</vt:lpstr>
      <vt:lpstr>aq</vt:lpstr>
      <vt:lpstr>ar</vt:lpstr>
      <vt:lpstr>as</vt:lpstr>
      <vt:lpstr>at</vt:lpstr>
      <vt:lpstr>au</vt:lpstr>
      <vt:lpstr>av</vt:lpstr>
      <vt:lpstr>aw</vt:lpstr>
      <vt:lpstr>b</vt:lpstr>
      <vt:lpstr>d</vt:lpstr>
      <vt:lpstr>e</vt:lpstr>
      <vt:lpstr>y</vt:lpstr>
      <vt:lpstr>n</vt:lpstr>
      <vt:lpstr>o</vt:lpstr>
      <vt:lpstr>p</vt:lpstr>
      <vt:lpstr>q</vt:lpstr>
      <vt:lpstr>t</vt:lpstr>
      <vt:lpstr>TAB1464475419</vt:lpstr>
      <vt:lpstr>TAB340665983</vt:lpstr>
      <vt:lpstr>u</vt:lpstr>
      <vt:lpstr>v</vt:lpstr>
      <vt:lpstr>w</vt:lpstr>
      <vt:lpstr>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Danas</dc:creator>
  <cp:lastModifiedBy>Danas</cp:lastModifiedBy>
  <dcterms:created xsi:type="dcterms:W3CDTF">2009-12-01T19:33:28Z</dcterms:created>
  <dcterms:modified xsi:type="dcterms:W3CDTF">2014-05-15T11:59:32Z</dcterms:modified>
</cp:coreProperties>
</file>