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30" windowWidth="4230" windowHeight="2460"/>
  </bookViews>
  <sheets>
    <sheet name="FTE Estimate" sheetId="1" r:id="rId1"/>
    <sheet name="FTE Estimate ReadOnly" sheetId="6" state="hidden" r:id="rId2"/>
    <sheet name="Pivot" sheetId="2" r:id="rId3"/>
    <sheet name="_ADFDI_Parameters" sheetId="4" state="hidden" r:id="rId4"/>
    <sheet name="_ADFDI_Metadata" sheetId="5" state="hidden" r:id="rId5"/>
    <sheet name="Discrepancies" sheetId="3" r:id="rId6"/>
    <sheet name="Config" sheetId="7" state="hidden" r:id="rId7"/>
  </sheets>
  <functionGroups builtInGroupCount="17"/>
  <definedNames>
    <definedName name="_xlnm._FilterDatabase" localSheetId="5" hidden="1">Discrepancies!$C$10:$AC$10</definedName>
    <definedName name="_xlnm._FilterDatabase" localSheetId="0" hidden="1">'FTE Estimate'!$B$7:$AM$11</definedName>
    <definedName name="_xlnm._FilterDatabase" localSheetId="1" hidden="1">'FTE Estimate ReadOnly'!$B$10:$AB$10</definedName>
    <definedName name="DbProjectPhase">'FTE Estimate'!$AH$10:$AH$12</definedName>
    <definedName name="IsManual">'FTE Estimate'!$AJ$10:$AJ$12</definedName>
    <definedName name="y10Ltc">'FTE Estimate'!$X$10:$X$12</definedName>
    <definedName name="y11Ltc" localSheetId="1">'FTE Estimate'!$Y$10:$Y$11</definedName>
    <definedName name="y12Ltc">'FTE Estimate'!$Z$10:$Z$12</definedName>
    <definedName name="y13Ltc">'FTE Estimate'!$AA$10:$AA$12</definedName>
    <definedName name="y14Ltc">'FTE Estimate'!$AB$10:$AB$12</definedName>
    <definedName name="y15Ltc">'FTE Estimate'!$AC$10:$AC$12</definedName>
    <definedName name="y1Ltc">'FTE Estimate'!$O$10:$O$12</definedName>
    <definedName name="y2Ltc">'FTE Estimate'!$P$10:$P$12</definedName>
    <definedName name="y3Ltc">'FTE Estimate'!$Q$10:$Q$12</definedName>
    <definedName name="y4Ltc">'FTE Estimate'!$R$10:$R$12</definedName>
    <definedName name="y5Ltc">'FTE Estimate'!$S$10:$S$12</definedName>
    <definedName name="y6Ltc">'FTE Estimate'!$T$10:$T$12</definedName>
    <definedName name="y7Ltc">'FTE Estimate'!$U$10:$U$12</definedName>
    <definedName name="y8Ltc">'FTE Estimate'!$V$10:$V$12</definedName>
    <definedName name="y9Ltc">'FTE Estimate'!$W$10:$W$12</definedName>
    <definedName name="PivotTableE">'FTE Estimate'!$C$10:$AJ$12</definedName>
    <definedName name="PivotTableR">'FTE Estimate ReadOnly'!$B$10:$AC$12</definedName>
    <definedName name="ProjectCode">'FTE Estimate'!$D$10:$D$12</definedName>
    <definedName name="ProjectPhase">'FTE Estimate'!$F$10:$F$12</definedName>
    <definedName name="ProjectPhasesLimited">'FTE Estimate'!$AI$10:$AI$12</definedName>
    <definedName name="StudyId">'FTE Estimate'!$H$10:$H$12</definedName>
    <definedName name="StudyProjectPhase">'FTE Estimate'!$AG$10:$AG$12</definedName>
    <definedName name="TAB269022215">Discrepancies!$C$10:$AD$11</definedName>
    <definedName name="TAB389210675">'FTE Estimate'!$B$10:$AL$11</definedName>
    <definedName name="TAB681493274">'FTE Estimate ReadOnly'!$B$10:$AC$11</definedName>
  </definedNames>
  <calcPr calcId="145621"/>
  <pivotCaches>
    <pivotCache cacheId="1" r:id="rId8"/>
  </pivotCaches>
</workbook>
</file>

<file path=xl/calcChain.xml><?xml version="1.0" encoding="utf-8"?>
<calcChain xmlns="http://schemas.openxmlformats.org/spreadsheetml/2006/main">
  <c r="AM4" i="5" l="1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3" i="5" l="1"/>
  <c r="AD8" i="5" l="1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B12" i="5" l="1"/>
  <c r="B11" i="5" l="1"/>
  <c r="B9" i="5" l="1"/>
  <c r="B7" i="5"/>
  <c r="B6" i="5"/>
  <c r="B5" i="5"/>
  <c r="B3" i="5"/>
</calcChain>
</file>

<file path=xl/sharedStrings.xml><?xml version="1.0" encoding="utf-8"?>
<sst xmlns="http://schemas.openxmlformats.org/spreadsheetml/2006/main" count="311" uniqueCount="175">
  <si>
    <t>13.4.2.0.13155</t>
  </si>
  <si>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</si>
  <si>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</si>
  <si>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</si>
  <si>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</si>
  <si>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</si>
  <si>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</si>
  <si>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</si>
  <si>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ProFIT planning period: 3 calendar years</t>
  </si>
  <si>
    <t>ê</t>
  </si>
  <si>
    <t>CellOutputText</t>
  </si>
  <si>
    <t>Following rows have been removed during recent recalculation</t>
  </si>
  <si>
    <t>&lt;CellOutputText ComponentID="OTX898650851"&gt;&lt;Position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</si>
  <si>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Rightclick =&gt; Row Insert</t>
  </si>
  <si>
    <t>*</t>
  </si>
  <si>
    <t>Mandatory attribute</t>
  </si>
  <si>
    <t>&lt;Worksheet&gt;&lt;ServerContext /&gt;&lt;RowData /&gt;&lt;Title /&gt;&lt;PageDef&gt;&lt;PageDef&gt;[no page definition selected]&lt;/PageDef&gt;&lt;/PageDef&gt;&lt;Protection /&gt;&lt;SetupActionID /&gt;&lt;/Worksheet&gt;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</si>
  <si>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</si>
  <si>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</si>
  <si>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</si>
  <si>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Conditional Formatting - Deviation</t>
  </si>
  <si>
    <t>Conditional Formatting - Row marking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</si>
  <si>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/&gt;&lt;/Worksheet&gt;</t>
  </si>
  <si>
    <t>Delete</t>
  </si>
  <si>
    <t>StudyProjectPhaseName - Service</t>
  </si>
  <si>
    <t>IsManual - Service</t>
  </si>
  <si>
    <t>IsExternalFTE-service</t>
  </si>
  <si>
    <t>#{bindings.LtcEstimateView.hints.ProgramName.label}</t>
  </si>
  <si>
    <t>#{bindings.LtcEstimateView.hints.LtcProjectId.label}</t>
  </si>
  <si>
    <t>#{bindings.LtcEstimateView.hints.ProjectName.label}</t>
  </si>
  <si>
    <t>#{bindings.LtcEstimateView.hints.ProjectPhaseCode.label}</t>
  </si>
  <si>
    <t>#{bindings.LtcEstimateView.hints.StudyPhaseCode.label}</t>
  </si>
  <si>
    <t>#{bindings.LtcEstimateView.hints.StudyId.label}</t>
  </si>
  <si>
    <t>#{bindings.LtcEstimateView.hints.StudyName.label}</t>
  </si>
  <si>
    <t>#{bindings.LtcEstimateView.hints.StudyFpfv.label}</t>
  </si>
  <si>
    <t>#{bindings.LtcEstimateView.hints.StudyLplv.label}</t>
  </si>
  <si>
    <t>#{bindings.LtcEstimateView.hints.TopFunctionName.label}</t>
  </si>
  <si>
    <t>#{bindings.LtcEstimateView.hints.FunctionCode.label}</t>
  </si>
  <si>
    <t>#{bindings.LtcEstimateView.hints.Comments.label}</t>
  </si>
  <si>
    <t>#{bindings.StartYear} FTE</t>
  </si>
  <si>
    <t>=concatenate(#{bindings.StartYear}+1," FTE")</t>
  </si>
  <si>
    <t>=concatenate(#{bindings.StartYear}+2," FTE")</t>
  </si>
  <si>
    <t>=concatenate(#{bindings.StartYear}+3," FTE")</t>
  </si>
  <si>
    <t>=concatenate(#{bindings.StartYear}+4," FTE")</t>
  </si>
  <si>
    <t>=concatenate(#{bindings.StartYear}+5," FTE")</t>
  </si>
  <si>
    <t>=concatenate(#{bindings.StartYear}+6," FTE")</t>
  </si>
  <si>
    <t>=concatenate(#{bindings.StartYear}+7," FTE")</t>
  </si>
  <si>
    <t>=concatenate(#{bindings.StartYear}+8," FTE")</t>
  </si>
  <si>
    <t>=concatenate(#{bindings.StartYear}+9," FTE")</t>
  </si>
  <si>
    <t>=concatenate(#{bindings.StartYear}+10," FTE")</t>
  </si>
  <si>
    <t>=concatenate(#{bindings.StartYear}+11," FTE")</t>
  </si>
  <si>
    <t>=concatenate(#{bindings.StartYear}+12," FTE")</t>
  </si>
  <si>
    <t>=concatenate(#{bindings.StartYear}+13," FTE")</t>
  </si>
  <si>
    <t>=concatenate(#{bindings.StartYear}+14," FTE")</t>
  </si>
  <si>
    <t>#{_ADFDIres['COMPONENTS_TABLE_CHANGED_COL_LABEL']}</t>
  </si>
  <si>
    <t>#{_ADFDIres['COMPONENTS_TABLE_STATUS_COL_LABEL']}</t>
  </si>
  <si>
    <t>#{_ADFDIres['COMPONENTS_TABLE_ROWKEY_COL_LABEL']} - Service</t>
  </si>
  <si>
    <t>#{bindings.LtcEstimateView.hints.ProjectPhaseCode.label} - Service</t>
  </si>
  <si>
    <t>#{row.bindings.ProgramName.inputValue}</t>
  </si>
  <si>
    <t>#{row.bindings.LtcProjectId.inputValue}</t>
  </si>
  <si>
    <t>#{row.bindings.ProjectName.inputValue}</t>
  </si>
  <si>
    <t>=T("=setValidation()")</t>
  </si>
  <si>
    <t>#{row.bindings.StudyPhaseCode.inputValue}</t>
  </si>
  <si>
    <t>#{row.bindings.StudyId.inputValue}</t>
  </si>
  <si>
    <t>#{row.bindings.StudyName.inputValue}</t>
  </si>
  <si>
    <t>#{row.bindings.StudyFpfv.inputValue}</t>
  </si>
  <si>
    <t>#{row.bindings.StudyLplv.inputValue}</t>
  </si>
  <si>
    <t>#{row.bindings.TopFunctionName.inputValue}</t>
  </si>
  <si>
    <t>#{row.bindings.FunctionCode.inputValue}</t>
  </si>
  <si>
    <t>#{row.bindings.Comments.inputValue}</t>
  </si>
  <si>
    <t>#{row.bindings.LtY1Cost.inputValue}</t>
  </si>
  <si>
    <t>#{row.bindings.LtY2Cost.inputValue}</t>
  </si>
  <si>
    <t>#{row.bindings.LtY3Cost.inputValue}</t>
  </si>
  <si>
    <t>#{row.bindings.LtY4Cost.inputValue}</t>
  </si>
  <si>
    <t>#{row.bindings.LtY5Cost.inputValue}</t>
  </si>
  <si>
    <t>#{row.bindings.LtY6Cost.inputValue}</t>
  </si>
  <si>
    <t>#{row.bindings.LtY7Cost.inputValue}</t>
  </si>
  <si>
    <t>#{row.bindings.LtY8Cost.inputValue}</t>
  </si>
  <si>
    <t>#{row.bindings.LtY9Cost.inputValue}</t>
  </si>
  <si>
    <t>#{row.bindings.LtY10Cost.inputValue}</t>
  </si>
  <si>
    <t>#{row.bindings.LtY11Cost.inputValue}</t>
  </si>
  <si>
    <t>#{row.bindings.LtY12Cost.inputValue}</t>
  </si>
  <si>
    <t>#{row.bindings.LtY13Cost.inputValue}</t>
  </si>
  <si>
    <t>#{row.bindings.LtY14Cost.inputValue}</t>
  </si>
  <si>
    <t>#{row.bindings.LtY15Cost.inputValue}</t>
  </si>
  <si>
    <t>#{row.bindings.StudyProjectPhaseName.inputValue}</t>
  </si>
  <si>
    <t>#{row.bindings.ProjectPhaseCode.inputValue}</t>
  </si>
  <si>
    <t>#{row.bindings.IsManual.inputValue}</t>
  </si>
  <si>
    <t>#{row.bindings.IsExternalFte.inputValue}</t>
  </si>
  <si>
    <t>#{bindings.StartYear}</t>
  </si>
  <si>
    <t>#{bindings.LtcEstimateDicrepanciesView.hints.ProgramName.label}</t>
  </si>
  <si>
    <t>#{bindings.LtcEstimateDicrepanciesView.hints.ProjectCode.label}</t>
  </si>
  <si>
    <t>#{bindings.LtcEstimateDicrepanciesView.hints.ProjectName.label}</t>
  </si>
  <si>
    <t>#{bindings.LtcEstimateDicrepanciesView.hints.ProjectPhaseName.label}</t>
  </si>
  <si>
    <t>#{bindings.LtcEstimateDicrepanciesView.hints.StudyPhaseCode.label}</t>
  </si>
  <si>
    <t>#{bindings.LtcEstimateDicrepanciesView.hints.StudyId.label}</t>
  </si>
  <si>
    <t>#{bindings.LtcEstimateDicrepanciesView.hints.StudyName.label}</t>
  </si>
  <si>
    <t>#{bindings.LtcEstimateDicrepanciesView.hints.StudyFpfv.label}</t>
  </si>
  <si>
    <t>#{bindings.LtcEstimateDicrepanciesView.hints.StudyLplv.label}</t>
  </si>
  <si>
    <t>#{bindings.LtcEstimateDicrepanciesView.hints.TopFunctionName.label}</t>
  </si>
  <si>
    <t>#{bindings.LtcEstimateDicrepanciesView.hints.FunctionName.label}</t>
  </si>
  <si>
    <t>#{bindings.LtcEstimateDicrepanciesView.hints.Comments.label}</t>
  </si>
  <si>
    <t>#{row.bindings.ProjectCode.inputValue}</t>
  </si>
  <si>
    <t>#{row.bindings.ProjectPhaseName.inputValue}</t>
  </si>
  <si>
    <t>#{row.bindings.FunctionName.inputValue}</t>
  </si>
  <si>
    <t>#{bindings.LtcEstimateReadonlyView.hints.ProgramName.label}</t>
  </si>
  <si>
    <t>#{bindings.LtcEstimateReadonlyView.hints.ProjectCode.label}</t>
  </si>
  <si>
    <t>#{bindings.LtcEstimateReadonlyView.hints.ProjectName.label}</t>
  </si>
  <si>
    <t>#{bindings.LtcEstimateReadonlyView.hints.ProjectPhaseName.label}</t>
  </si>
  <si>
    <t>#{bindings.LtcEstimateReadonlyView.hints.StudyPhaseCode.label}</t>
  </si>
  <si>
    <t>#{bindings.LtcEstimateReadonlyView.hints.StudyId.label}</t>
  </si>
  <si>
    <t>#{bindings.LtcEstimateReadonlyView.hints.StudyName.label}</t>
  </si>
  <si>
    <t>#{bindings.LtcEstimateReadonlyView.hints.StudyFpfv.label}</t>
  </si>
  <si>
    <t>#{bindings.LtcEstimateReadonlyView.hints.StudyLplv.label}</t>
  </si>
  <si>
    <t>#{bindings.LtcEstimateReadonlyView.hints.TopFunctionName.label}</t>
  </si>
  <si>
    <t>#{bindings.LtcEstimateReadonlyView.hints.FunctionName.label}</t>
  </si>
  <si>
    <t>#{bindings.LtcEstimateReadonlyView.hints.Comments.label}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</si>
  <si>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/&gt;&lt;/DoubleClickActionSet&gt;&lt;/UpdateComponent&gt;&lt;GroupHeader /&gt;&lt;/Columns&gt;&lt;RowData /&gt;&lt;DisplayUploadOptions&gt;false&lt;/DisplayUploadOptions&gt;&lt;/Table&gt;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</si>
  <si>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</si>
  <si>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#{row.bindings.ScopeCode.inputValue}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</si>
  <si>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</si>
  <si>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</si>
  <si>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</si>
  <si>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</si>
  <si>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</si>
  <si>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</si>
  <si>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</si>
  <si>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</si>
  <si>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ComponentID="OTX1039876980"&gt;&lt;Position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</si>
  <si>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ProjectPhaseLimited - Service</t>
  </si>
  <si>
    <t>#{row.bindings.ProjectPhaseCodeLookup.inputValue}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</si>
  <si>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/&gt;&lt;/Parameters&gt;&lt;Parameters&gt;&lt;Value&gt;&lt;Value&gt;FTE&lt;/Value&gt;&lt;/Value&gt;&lt;Parameter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</si>
  <si>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>AAAFC Calc Test1</t>
  </si>
  <si>
    <t>FC Internal Calc 02</t>
  </si>
  <si>
    <t>Phase IIb</t>
  </si>
  <si>
    <t>D - BHC R&amp;D BPA</t>
  </si>
  <si>
    <t>Program</t>
  </si>
  <si>
    <t>*Project</t>
  </si>
  <si>
    <t>Project Name</t>
  </si>
  <si>
    <t>*Project Phase</t>
  </si>
  <si>
    <t>Trial Phase</t>
  </si>
  <si>
    <t>Trial No</t>
  </si>
  <si>
    <t>Trial Objective</t>
  </si>
  <si>
    <t>FPFV</t>
  </si>
  <si>
    <t>LPLV</t>
  </si>
  <si>
    <t>Top Function</t>
  </si>
  <si>
    <t>*Function</t>
  </si>
  <si>
    <t>Planning assumption GPM</t>
  </si>
  <si>
    <t>(All)</t>
  </si>
  <si>
    <t>(blank)</t>
  </si>
  <si>
    <t>Grand Total</t>
  </si>
  <si>
    <t>AAAFC Calc Test1 Total</t>
  </si>
  <si>
    <t>(blank) Total</t>
  </si>
  <si>
    <t>FC Internal Calc 02 Total</t>
  </si>
  <si>
    <t xml:space="preserve">2017 FTE </t>
  </si>
  <si>
    <t xml:space="preserve">2018 FTE </t>
  </si>
  <si>
    <t xml:space="preserve">2019 FTE </t>
  </si>
  <si>
    <t xml:space="preserve">2020 FTE </t>
  </si>
  <si>
    <t xml:space="preserve">2021 FTE </t>
  </si>
  <si>
    <t xml:space="preserve">2022 FTE </t>
  </si>
  <si>
    <t xml:space="preserve">2023 FTE </t>
  </si>
  <si>
    <t xml:space="preserve">2024 FTE </t>
  </si>
  <si>
    <t xml:space="preserve">2025 FTE </t>
  </si>
  <si>
    <t xml:space="preserve">2026 FTE </t>
  </si>
  <si>
    <t xml:space="preserve">2027 FTE </t>
  </si>
  <si>
    <t xml:space="preserve">2028 FTE </t>
  </si>
  <si>
    <t xml:space="preserve">2029 FTE </t>
  </si>
  <si>
    <t xml:space="preserve">2030 FTE </t>
  </si>
  <si>
    <t xml:space="preserve">2031 FTE </t>
  </si>
  <si>
    <t>Phase IIb Total</t>
  </si>
  <si>
    <t>ScopeCode-Service</t>
  </si>
  <si>
    <t>[ADFDIPARAM_BEG]DT              http://promis.oprisk.int:8011/ipmsapp-danas-dev                                                                                                                                                                                                                                                                                                                                                                                                                                                                                                                                                                                                                                                                                                                                                                                                                                                                                                                                                                                                                                                                                                                                                                                                                                                                                                                                                                                                                                                                                                                                                                                                                                                                                                                                                                                                                                                                                                                                                                                                                                                                                 tagId=250/projectId=/programId=/processId=/scn=123456789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</si>
  <si>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/&gt;&lt;/UpdateComponent&gt;&lt;Width&gt;&lt;Value /&gt;&lt;/Width&gt;&lt;GroupHeader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=IF(#{row.bindings.IsExternalFte.inputValue}=0,"False","True")&lt;/Value&gt;&lt;/ReadOnly&gt;&lt;/UpdateComponent&gt;&lt;Width&gt;&lt;Value /&gt;&lt;/Width&gt;&lt;GroupHeader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/&gt;&lt;/DoubleClickActionSet&gt;&lt;Value&gt;&lt;Value&gt;#{row.bindings.LtY2Cost.inputValue}&lt;/Value&gt;&lt;/Value&gt;&lt;ReadOnly&gt;&lt;Value&gt;=IF(#{row.bindings.IsExternalFte.inputValue}=0,"False","True")&lt;/Value&gt;&lt;/ReadOnly&gt;&lt;/UpdateComponent&gt;&lt;Width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/&gt;&lt;/DoubleClickActionSet&gt;&lt;Value&gt;&lt;Value&gt;#{row.bindings.LtY3Cost.inputValue}&lt;/Value&gt;&lt;/Value&gt;&lt;ReadOnly&gt;&lt;Value&gt;=IF(#{row.bindings.IsExternalFte.inputValue}=0,"False","True")&lt;/Value&gt;&lt;/ReadOnly&gt;&lt;/UpdateComponent&gt;&lt;Width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/&gt;&lt;/DoubleClickActionSet&gt;&lt;Value&gt;&lt;Value&gt;#{row.bindings.LtY4Cost.inputValue}&lt;/Value&gt;&lt;/Value&gt;&lt;ReadOnly&gt;&lt;Value&gt;=IF(#{row.bindings.IsExternalFte.inputValue}=0,"False","True")&lt;/Value&gt;&lt;/ReadOnly&gt;&lt;/UpdateComponent&gt;&lt;Width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/&gt;&lt;/DoubleClickActionSet&gt;&lt;Value&gt;&lt;Value&gt;#{row.bindings.LtY5Cost.inputValue}&lt;/Value&gt;&lt;/Value&gt;&lt;ReadOnly&gt;&lt;Value&gt;=IF(#{row.bindings.IsExternalFte.inputValue}=0,"False","True")&lt;/Value&gt;&lt;/ReadOnly&gt;&lt;/UpdateComponent&gt;&lt;Width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/&gt;&lt;/DoubleClickActionSet&gt;&lt;Value&gt;&lt;Value&gt;#{row.bindings.LtY6Cost.inputValue}&lt;/Value&gt;&lt;/Value&gt;&lt;ReadOnly&gt;&lt;Value&gt;=IF(#{row.bindings.IsExternalFte.inputValue}=0,"False","True")&lt;/Value&gt;&lt;/ReadOnly&gt;&lt;/UpdateComponent&gt;&lt;Width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/&gt;&lt;/DoubleClickActionSet&gt;&lt;Value&gt;&lt;Value&gt;#{row.bindings.LtY7Cost.inputValue}&lt;/Value&gt;&lt;/Value&gt;&lt;ReadOnly&gt;&lt;Value&gt;=IF(#{row.bindings.IsExternalFte.inputValue}=0,"False","True")&lt;/Value&gt;&lt;/ReadOnly&gt;&lt;/UpdateComponent&gt;&lt;Width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/&gt;&lt;/DoubleClickActionSet&gt;&lt;Value&gt;&lt;Value&gt;#{row.bindings.LtY8Cost.inputValue}&lt;/Value&gt;&lt;/Value&gt;&lt;ReadOnly&gt;&lt;Value&gt;=IF(#{row.bindings.IsExternalFte.inputValue}=0,"False","True")&lt;/Value&gt;&lt;/ReadOnly&gt;&lt;/UpdateComponent&gt;&lt;Width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/&gt;&lt;/DoubleClickActionSet&gt;&lt;Value&gt;&lt;Value&gt;#{row.bindings.LtY9Cost.inputValue}&lt;/Value&gt;&lt;/Value&gt;&lt;ReadOnly&gt;&lt;Value&gt;=IF(#{row.bindings.IsExternalFte.inputValue}=0,"False","True")&lt;/Value&gt;&lt;/ReadOnly&gt;&lt;/UpdateComponent&gt;&lt;Width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/&gt;&lt;/DoubleClickActionSet&gt;&lt;Value&gt;&lt;Value&gt;#{row.bindings.LtY10Cost.inputValue}&lt;/Value&gt;&lt;/Value&gt;&lt;ReadOnly&gt;&lt;Value&gt;=IF(#{row.bindings.IsExternalFte.inputValue}=0,"False","True")&lt;/Value&gt;&lt;/ReadOnly&gt;&lt;/UpdateComponent&gt;&lt;Width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/&gt;&lt;/DoubleClickActionSet&gt;&lt;Value&gt;&lt;Value&gt;#{row.bindings.LtY11Cost.inputValue}&lt;/Value&gt;&lt;/Value&gt;&lt;ReadOnly&gt;&lt;Value&gt;=IF(#{row.bindings.IsExternalFte.inputValue}=0,"False","True")&lt;/Value&gt;&lt;/ReadOnly&gt;&lt;/UpdateComponent&gt;&lt;Width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/&gt;&lt;/DoubleClickActionSet&gt;&lt;Value&gt;&lt;Value&gt;#{row.bindings.LtY12Cost.inputValue}&lt;/Value&gt;&lt;/Value&gt;&lt;ReadOnly&gt;&lt;Value&gt;=IF(#{row.bindings.IsExternalFte.inputValue}=0,"False","True")&lt;/Value&gt;&lt;/ReadOnly&gt;&lt;/UpdateComponent&gt;&lt;Width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/&gt;&lt;/DoubleClickActionSet&gt;&lt;Value&gt;&lt;Value&gt;#{row.bindings.LtY13Cost.inputValue}&lt;/Value&gt;&lt;/Value&gt;&lt;ReadOnly&gt;&lt;Value&gt;=IF(#{row.bindings.IsExternalFte.inputValue}=0,"False","True")&lt;/Value&gt;&lt;/ReadOnly&gt;&lt;/UpdateComponent&gt;&lt;Width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/&gt;&lt;/DoubleClickActionSet&gt;&lt;Value&gt;&lt;Value&gt;#{row.bindings.LtY14Cost.inputValue}&lt;/Value&gt;&lt;/Value&gt;&lt;ReadOnly&gt;&lt;Value&gt;=IF(#{row.bindings.IsExternalFte.inputValue}=0,"False","True")&lt;/Value&gt;&lt;/ReadOnly&gt;&lt;/UpdateComponent&gt;&lt;Width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/&gt;&lt;/DoubleClickActionSet&gt;&lt;Value&gt;&lt;Value&gt;#{row.bindings.LtY15Cost.inputValue}&lt;/Value&gt;&lt;/Value&gt;&lt;ReadOnly&gt;&lt;Value&gt;=IF(#{row.bindings.IsExternalFte.inputValue}=0,"False","True")&lt;/Value&gt;&lt;/ReadOnly&gt;&lt;/UpdateComponent&gt;&lt;Width /&gt;&lt;GroupHeader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ID="ProjectPhaseLimited"&gt;&lt;HeaderStyleName&gt;&lt;Value&gt;ltcHeader-service&lt;/Value&gt;&lt;/HeaderStyleName&gt;&lt;HeaderLabel&gt;&lt;Value&gt;ProjectPhaseLimited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True&lt;/Value&gt;&lt;/ReadOnly&gt;&lt;/UpdateComponent&gt;&lt;Width /&gt;&lt;GroupHeader /&gt;&lt;/Columns&gt;&lt;Columns ID="COL508494134"&gt;&lt;HeaderStyleName&gt;&lt;Value&gt;ltcHeader-service&lt;/Value&gt;&lt;/HeaderStyleName&gt;&lt;HeaderLabel&gt;&lt;Value&gt;IsManual - Service&lt;/Value&gt;&lt;/HeaderLabel&gt;&lt;CellStyleName&gt;&lt;Value&gt;Data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/&gt;&lt;/DoubleClickActionSet&gt;&lt;Value&gt;&lt;Value&gt;#{row.bindings.IsManual.inputValue}&lt;/Value&gt;&lt;/Value&gt;&lt;/UpdateComponent&gt;&lt;Width /&gt;&lt;GroupHeader /&gt;&lt;/Columns&gt;&lt;Columns ID="isExternalFte"&gt;&lt;HeaderStyleName&gt;&lt;Value&gt;ltcHeader-service&lt;/Value&gt;&lt;/HeaderStyleName&gt;&lt;HeaderLabel&gt;&lt;Value&gt;IsExternalFTE-service&lt;/Value&gt;&lt;/HeaderLabel&gt;&lt;CellStyleName&gt;&lt;Value&gt;Data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IsExternalFte.inputValue}&lt;/Value&gt;&lt;/List&gt;&lt;DependsOnList&gt;&lt;Value&gt;#{row.bindings.LtcProjectId.inputValue}&lt;/Value&gt;&lt;/DependsOnList&gt;&lt;ReadOnly&gt;&lt;Value&gt;False&lt;/Value&gt;&lt;/ReadOnly&gt;&lt;/UpdateComponent&gt;&lt;GroupHeader /&gt;&lt;/Columns&gt;&lt;Columns ID="scope"&gt;&lt;HeaderStyleName&gt;&lt;Value&gt;ltcHeader-service&lt;/Value&gt;&lt;/HeaderStyleName&gt;&lt;HeaderLabel&gt;&lt;Value&gt;ScopeCode-Service&lt;/Value&gt;&lt;/HeaderLabel&gt;&lt;CellStyleName&gt;&lt;Value&gt;Data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/&gt;&lt;DisplayUploadOptions&gt;false&lt;/DisplayUploadOptions&gt;&lt;/Table&gt;</t>
  </si>
  <si>
    <t>&lt;Workbook&gt;&lt;RemoteServletPath&gt;/adfdiRemoteServlet&lt;/RemoteServletPath&gt;&lt;WebAppRoot /&gt;&lt;WorkbookID&gt;8cae984a-052e-4b49-b32f-f761a85c89b6&lt;/WorkbookID&gt;&lt;Login&gt;&lt;WindowSize /&gt;&lt;/Login&gt;&lt;Project&gt;&lt;Value&gt;ipms.adf.view&lt;/Value&gt;&lt;/Project&gt;&lt;ApplicationHomeFolder&gt;D:\Projects\Promis\dev\application&lt;/ApplicationHomeFolder&gt;&lt;WebPagesFolder&gt;view\public_html&lt;/WebPagesFolder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</si>
  <si>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 /&gt;&lt;/ActionSet&gt;&lt;/Events&gt;&lt;MenuItems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ID="commitFte"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ID="" /&gt;&lt;/Worksheet&gt;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</si>
</sst>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Color3]\+#,##0.00\ ;[Color10]\-#,##0.00\ "/>
    <numFmt numFmtId="165" formatCode="dd\-mm\-yyyy"/>
    <numFmt numFmtId="166" formatCode="#,##0.00_ ;[Red]\-#,##0.00_;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14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</cellStyleXfs>
  <cellXfs count="70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0" xfId="0" applyBorder="1" applyAlignment="1"/>
    <xf numFmtId="0" fontId="0" fillId="0" borderId="0" xfId="0" applyBorder="1"/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 wrapText="1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10" fillId="8" borderId="0" xfId="14" quotePrefix="1">
      <alignment vertical="top" wrapText="1"/>
    </xf>
    <xf numFmtId="0" fontId="3" fillId="5" borderId="3" xfId="8">
      <alignment vertical="center" shrinkToFit="1"/>
    </xf>
    <xf numFmtId="0" fontId="4" fillId="4" borderId="2" xfId="4">
      <alignment vertical="center" wrapText="1"/>
    </xf>
    <xf numFmtId="0" fontId="5" fillId="5" borderId="3" xfId="5">
      <alignment horizontal="center" vertical="center" wrapText="1"/>
    </xf>
    <xf numFmtId="0" fontId="3" fillId="5" borderId="3" xfId="9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14" borderId="7" xfId="0" applyFill="1" applyBorder="1"/>
    <xf numFmtId="0" fontId="0" fillId="14" borderId="8" xfId="0" applyFill="1" applyBorder="1"/>
    <xf numFmtId="0" fontId="0" fillId="0" borderId="0" xfId="0" applyFill="1" applyBorder="1"/>
    <xf numFmtId="0" fontId="1" fillId="0" borderId="9" xfId="2" applyFill="1" applyBorder="1">
      <alignment horizontal="left" vertical="center" wrapText="1"/>
    </xf>
    <xf numFmtId="0" fontId="0" fillId="14" borderId="11" xfId="0" applyFill="1" applyBorder="1"/>
    <xf numFmtId="0" fontId="0" fillId="0" borderId="12" xfId="0" applyBorder="1"/>
    <xf numFmtId="0" fontId="0" fillId="0" borderId="12" xfId="0" applyFill="1" applyBorder="1"/>
    <xf numFmtId="0" fontId="0" fillId="0" borderId="13" xfId="0" applyBorder="1"/>
    <xf numFmtId="0" fontId="0" fillId="0" borderId="0" xfId="0" pivotButton="1"/>
    <xf numFmtId="166" fontId="0" fillId="0" borderId="0" xfId="0" applyNumberFormat="1"/>
    <xf numFmtId="0" fontId="0" fillId="0" borderId="0" xfId="0" applyAlignment="1">
      <alignment vertical="center" wrapText="1"/>
    </xf>
    <xf numFmtId="0" fontId="0" fillId="15" borderId="0" xfId="0" applyFill="1" applyAlignment="1">
      <alignment vertical="center" wrapText="1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</cellXfs>
  <cellStyles count="24">
    <cellStyle name="Branding Area" xfId="10"/>
    <cellStyle name="Column Header" xfId="4"/>
    <cellStyle name="Data Cell" xfId="7"/>
    <cellStyle name="Form Header" xfId="11"/>
    <cellStyle name="Form SubHeader" xfId="12"/>
    <cellStyle name="Indicator Cell" xfId="5"/>
    <cellStyle name="Input Text" xfId="3"/>
    <cellStyle name="Key Cell" xfId="8"/>
    <cellStyle name="Label" xfId="1"/>
    <cellStyle name="ltcCell-service" xfId="22"/>
    <cellStyle name="ltcDateValueCell" xfId="19"/>
    <cellStyle name="ltcHeader1" xfId="13"/>
    <cellStyle name="ltcHeader2" xfId="14"/>
    <cellStyle name="ltcHeader3" xfId="15"/>
    <cellStyle name="ltcHeader4" xfId="16"/>
    <cellStyle name="ltcHeader5" xfId="17"/>
    <cellStyle name="ltcHeader6" xfId="20"/>
    <cellStyle name="ltcHeader-service" xfId="21"/>
    <cellStyle name="ltcNoWrapTextCell" xfId="23"/>
    <cellStyle name="ltcValueCell" xfId="18"/>
    <cellStyle name="Normal" xfId="0" builtinId="0"/>
    <cellStyle name="Output Text" xfId="2"/>
    <cellStyle name="Read-only Cell" xfId="6"/>
    <cellStyle name="Status Cell" xfId="9"/>
  </cellStyles>
  <dxfs count="2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EUR, @B18 FX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donatas" refreshedDate="43173.744723958334" createdVersion="1" refreshedVersion="4" recordCount="2">
  <cacheSource type="worksheet">
    <worksheetSource ref="C10:AJ12" sheet="FTE Estimate"/>
  </cacheSource>
  <cacheFields count="34">
    <cacheField name="Program" numFmtId="0">
      <sharedItems containsBlank="1" count="2">
        <s v="AAAFC Calc Test1"/>
        <m/>
      </sharedItems>
    </cacheField>
    <cacheField name="*Project" numFmtId="0">
      <sharedItems containsString="0" containsBlank="1" containsNumber="1" containsInteger="1" minValue="236820" maxValue="236820" count="2">
        <n v="236820"/>
        <m/>
      </sharedItems>
    </cacheField>
    <cacheField name="Project Name" numFmtId="0">
      <sharedItems containsBlank="1" count="2">
        <s v="FC Internal Calc 02"/>
        <m/>
      </sharedItems>
    </cacheField>
    <cacheField name="*Project Phase" numFmtId="0">
      <sharedItems containsBlank="1" count="2">
        <s v="Phase IIb"/>
        <m/>
      </sharedItems>
    </cacheField>
    <cacheField name="Trial Phase" numFmtId="0">
      <sharedItems containsNonDate="0" containsString="0" containsBlank="1" count="1">
        <m/>
      </sharedItems>
    </cacheField>
    <cacheField name="Trial No" numFmtId="0">
      <sharedItems containsNonDate="0" containsString="0" containsBlank="1" count="1">
        <m/>
      </sharedItems>
    </cacheField>
    <cacheField name="Trial Objective" numFmtId="0">
      <sharedItems containsNonDate="0" containsString="0" containsBlank="1" count="1">
        <m/>
      </sharedItems>
    </cacheField>
    <cacheField name="FPFV" numFmtId="0">
      <sharedItems containsNonDate="0" containsString="0" containsBlank="1" count="1">
        <m/>
      </sharedItems>
    </cacheField>
    <cacheField name="LPLV" numFmtId="0">
      <sharedItems containsNonDate="0" containsString="0" containsBlank="1" count="1">
        <m/>
      </sharedItems>
    </cacheField>
    <cacheField name="Top Function" numFmtId="0">
      <sharedItems containsBlank="1" count="2">
        <s v="GLOBAL DEVELOPMENT"/>
        <m/>
      </sharedItems>
    </cacheField>
    <cacheField name="*Function" numFmtId="0">
      <sharedItems containsBlank="1" count="2">
        <s v="D - BHC R&amp;D BPA"/>
        <m/>
      </sharedItems>
    </cacheField>
    <cacheField name="Planning assumption GPM" numFmtId="0">
      <sharedItems containsNonDate="0" containsString="0" containsBlank="1" count="1">
        <m/>
      </sharedItems>
    </cacheField>
    <cacheField name="2017 FTE" numFmtId="0">
      <sharedItems containsNonDate="0" containsString="0" containsBlank="1"/>
    </cacheField>
    <cacheField name="2018 FTE" numFmtId="0">
      <sharedItems containsNonDate="0" containsString="0" containsBlank="1"/>
    </cacheField>
    <cacheField name="2019 FTE" numFmtId="0">
      <sharedItems containsNonDate="0" containsString="0" containsBlank="1"/>
    </cacheField>
    <cacheField name="2020 FTE" numFmtId="0">
      <sharedItems containsNonDate="0" containsString="0" containsBlank="1"/>
    </cacheField>
    <cacheField name="2021 FTE" numFmtId="0">
      <sharedItems containsNonDate="0" containsString="0" containsBlank="1"/>
    </cacheField>
    <cacheField name="2022 FTE" numFmtId="0">
      <sharedItems containsNonDate="0" containsString="0" containsBlank="1"/>
    </cacheField>
    <cacheField name="2023 FTE" numFmtId="0">
      <sharedItems containsNonDate="0" containsString="0" containsBlank="1"/>
    </cacheField>
    <cacheField name="2024 FTE" numFmtId="0">
      <sharedItems containsNonDate="0" containsString="0" containsBlank="1"/>
    </cacheField>
    <cacheField name="2025 FTE" numFmtId="0">
      <sharedItems containsNonDate="0" containsString="0" containsBlank="1"/>
    </cacheField>
    <cacheField name="2026 FTE" numFmtId="0">
      <sharedItems containsNonDate="0" containsString="0" containsBlank="1"/>
    </cacheField>
    <cacheField name="2027 FTE" numFmtId="0">
      <sharedItems containsNonDate="0" containsString="0" containsBlank="1"/>
    </cacheField>
    <cacheField name="2028 FTE" numFmtId="0">
      <sharedItems containsNonDate="0" containsString="0" containsBlank="1"/>
    </cacheField>
    <cacheField name="2029 FTE" numFmtId="0">
      <sharedItems containsNonDate="0" containsString="0" containsBlank="1"/>
    </cacheField>
    <cacheField name="2030 FTE" numFmtId="0">
      <sharedItems containsNonDate="0" containsString="0" containsBlank="1"/>
    </cacheField>
    <cacheField name="2031 FTE" numFmtId="0">
      <sharedItems containsNonDate="0" containsString="0" containsBlank="1"/>
    </cacheField>
    <cacheField name="Changed" numFmtId="0">
      <sharedItems containsNonDate="0" containsString="0" containsBlank="1"/>
    </cacheField>
    <cacheField name="Status" numFmtId="0">
      <sharedItems containsNonDate="0" containsString="0" containsBlank="1"/>
    </cacheField>
    <cacheField name="Key - Service" numFmtId="0">
      <sharedItems containsBlank="1"/>
    </cacheField>
    <cacheField name="StudyProjectPhaseName - Service" numFmtId="0">
      <sharedItems containsNonDate="0" containsString="0" containsBlank="1"/>
    </cacheField>
    <cacheField name="*Project Phase - Service" numFmtId="0">
      <sharedItems containsBlank="1"/>
    </cacheField>
    <cacheField name="ProjectPhaseLimited - Service" numFmtId="0">
      <sharedItems containsNonDate="0" containsString="0" containsBlank="1"/>
    </cacheField>
    <cacheField name="IsManual - Service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8:U21" firstHeaderRow="0" firstDataRow="1" firstDataCol="6" rowPageCount="6" colPageCount="1"/>
  <pivotFields count="34">
    <pivotField axis="axisRow"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Page" compact="0" outline="0" showAll="0">
      <items count="2"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6">
    <field x="0"/>
    <field x="2"/>
    <field x="3"/>
    <field x="5"/>
    <field x="4"/>
    <field x="10"/>
  </rowFields>
  <rowItems count="13">
    <i>
      <x/>
      <x/>
      <x v="1"/>
      <x/>
      <x/>
      <x v="1"/>
    </i>
    <i t="default" r="4">
      <x/>
    </i>
    <i t="default" r="3">
      <x/>
    </i>
    <i t="default" r="2">
      <x v="1"/>
    </i>
    <i t="default" r="1">
      <x/>
    </i>
    <i t="default">
      <x/>
    </i>
    <i>
      <x v="1"/>
      <x v="1"/>
      <x/>
      <x/>
      <x/>
      <x/>
    </i>
    <i t="default" r="4">
      <x/>
    </i>
    <i t="default" r="3">
      <x/>
    </i>
    <i t="default" r="2">
      <x/>
    </i>
    <i t="default" r="1">
      <x v="1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6">
    <pageField fld="1" hier="-1"/>
    <pageField fld="11" hier="-1"/>
    <pageField fld="6" hier="-1"/>
    <pageField fld="7" hier="-1"/>
    <pageField fld="8" hier="-1"/>
    <pageField fld="9" hier="-1"/>
  </pageFields>
  <dataFields count="15">
    <dataField name="2017 FTE " fld="12" baseField="0" baseItem="0" numFmtId="166"/>
    <dataField name="2018 FTE " fld="13" baseField="0" baseItem="0" numFmtId="166"/>
    <dataField name="2019 FTE " fld="14" baseField="0" baseItem="0" numFmtId="166"/>
    <dataField name="2020 FTE " fld="15" baseField="0" baseItem="0" numFmtId="166"/>
    <dataField name="2021 FTE " fld="16" baseField="0" baseItem="0" numFmtId="166"/>
    <dataField name="2022 FTE " fld="17" baseField="0" baseItem="0" numFmtId="166"/>
    <dataField name="2023 FTE " fld="18" baseField="0" baseItem="0" numFmtId="166"/>
    <dataField name="2024 FTE " fld="19" baseField="0" baseItem="0" numFmtId="166"/>
    <dataField name="2025 FTE " fld="20" baseField="0" baseItem="0" numFmtId="166"/>
    <dataField name="2026 FTE " fld="21" baseField="0" baseItem="0" numFmtId="166"/>
    <dataField name="2027 FTE " fld="22" baseField="0" baseItem="0" numFmtId="166"/>
    <dataField name="2028 FTE " fld="23" baseField="0" baseItem="0" numFmtId="166"/>
    <dataField name="2029 FTE " fld="24" baseField="0" baseItem="0" numFmtId="166"/>
    <dataField name="2030 FTE " fld="25" baseField="0" baseItem="0" numFmtId="166"/>
    <dataField name="2031 FTE " fld="26" baseField="0" baseItem="0" numFmtId="166"/>
  </dataFields>
  <formats count="20">
    <format dxfId="22">
      <pivotArea field="0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5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10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5">
      <pivotArea field="0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5" type="button" dataOnly="0" labelOnly="1" outline="0" axis="axisRow" fieldPosition="3"/>
    </format>
    <format dxfId="11">
      <pivotArea field="4" type="button" dataOnly="0" labelOnly="1" outline="0" axis="axisRow" fieldPosition="4"/>
    </format>
    <format dxfId="10">
      <pivotArea field="10" type="button" dataOnly="0" labelOnly="1" outline="0" axis="axisRow" fieldPosition="5"/>
    </format>
    <format dxfId="9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">
      <pivotArea field="0" type="button" dataOnly="0" labelOnly="1" outline="0" axis="axisRow" fieldPosition="0"/>
    </format>
    <format dxfId="7">
      <pivotArea field="2" type="button" dataOnly="0" labelOnly="1" outline="0" axis="axisRow" fieldPosition="1"/>
    </format>
    <format dxfId="6">
      <pivotArea field="3" type="button" dataOnly="0" labelOnly="1" outline="0" axis="axisRow" fieldPosition="2"/>
    </format>
    <format dxfId="5">
      <pivotArea field="5" type="button" dataOnly="0" labelOnly="1" outline="0" axis="axisRow" fieldPosition="3"/>
    </format>
    <format dxfId="4">
      <pivotArea field="4" type="button" dataOnly="0" labelOnly="1" outline="0" axis="axisRow" fieldPosition="4"/>
    </format>
    <format dxfId="3">
      <pivotArea field="10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Z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10.7109375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4" width="20.7109375" customWidth="1"/>
    <col min="15" max="17" width="12.7109375" customWidth="1"/>
    <col min="18" max="30" width="10.7109375" customWidth="1"/>
    <col min="31" max="31" width="20.7109375" customWidth="1"/>
    <col min="32" max="32" width="9" hidden="1" customWidth="1"/>
    <col min="33" max="33" width="27.28515625" hidden="1" customWidth="1"/>
    <col min="34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78" x14ac:dyDescent="0.25">
      <c r="B1" s="34" t="s">
        <v>9</v>
      </c>
      <c r="C1" s="19" t="s">
        <v>5</v>
      </c>
      <c r="D1" s="18"/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78" ht="18" customHeight="1" x14ac:dyDescent="0.25">
      <c r="B2" s="35" t="s">
        <v>14</v>
      </c>
      <c r="C2" s="28" t="s">
        <v>15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 t="s">
        <v>89</v>
      </c>
    </row>
    <row r="3" spans="2:78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0.7055475115776062</v>
      </c>
    </row>
    <row r="4" spans="2:78" x14ac:dyDescent="0.25">
      <c r="B4" s="36" t="s">
        <v>13</v>
      </c>
      <c r="C4" s="2"/>
      <c r="D4" s="2"/>
      <c r="E4" s="2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78" x14ac:dyDescent="0.25">
      <c r="B5" s="3" t="s">
        <v>120</v>
      </c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78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78" x14ac:dyDescent="0.25">
      <c r="B7" s="2"/>
      <c r="C7" s="2"/>
      <c r="D7" s="2"/>
      <c r="E7" s="2"/>
      <c r="N7" s="31"/>
      <c r="O7" s="60" t="s">
        <v>7</v>
      </c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2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30"/>
    </row>
    <row r="8" spans="2:78" x14ac:dyDescent="0.25">
      <c r="B8" s="2"/>
      <c r="C8" s="2"/>
      <c r="D8" s="2"/>
      <c r="E8" s="2"/>
      <c r="N8" s="31"/>
      <c r="O8" s="57" t="s">
        <v>8</v>
      </c>
      <c r="P8" s="58"/>
      <c r="Q8" s="59"/>
      <c r="R8" s="63"/>
      <c r="S8" s="64"/>
      <c r="T8" s="64"/>
      <c r="U8" s="64"/>
      <c r="V8" s="64"/>
      <c r="W8" s="64"/>
      <c r="X8" s="64"/>
      <c r="Y8" s="64"/>
      <c r="Z8" s="64"/>
      <c r="AA8" s="64"/>
      <c r="AB8" s="64"/>
      <c r="AC8" s="65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30"/>
    </row>
    <row r="9" spans="2:78" x14ac:dyDescent="0.25">
      <c r="B9" s="7" t="s">
        <v>9</v>
      </c>
      <c r="C9" s="2"/>
      <c r="D9" s="7" t="s">
        <v>9</v>
      </c>
      <c r="E9" s="2"/>
      <c r="F9" s="7" t="s">
        <v>9</v>
      </c>
      <c r="H9" s="7" t="s">
        <v>9</v>
      </c>
      <c r="M9" s="7" t="s">
        <v>9</v>
      </c>
      <c r="N9" s="7" t="s">
        <v>9</v>
      </c>
      <c r="O9" s="7" t="s">
        <v>9</v>
      </c>
      <c r="P9" s="7" t="s">
        <v>9</v>
      </c>
      <c r="Q9" s="7" t="s">
        <v>9</v>
      </c>
      <c r="R9" s="7" t="s">
        <v>9</v>
      </c>
      <c r="S9" s="7" t="s">
        <v>9</v>
      </c>
      <c r="T9" s="7" t="s">
        <v>9</v>
      </c>
      <c r="U9" s="7" t="s">
        <v>9</v>
      </c>
      <c r="V9" s="7" t="s">
        <v>9</v>
      </c>
      <c r="W9" s="7" t="s">
        <v>9</v>
      </c>
      <c r="X9" s="7" t="s">
        <v>9</v>
      </c>
      <c r="Y9" s="7" t="s">
        <v>9</v>
      </c>
      <c r="Z9" s="7" t="s">
        <v>9</v>
      </c>
      <c r="AA9" s="7" t="s">
        <v>9</v>
      </c>
      <c r="AB9" s="7" t="s">
        <v>9</v>
      </c>
      <c r="AC9" s="7" t="s">
        <v>9</v>
      </c>
    </row>
    <row r="10" spans="2:78" ht="165" x14ac:dyDescent="0.25">
      <c r="B10" s="10" t="s">
        <v>23</v>
      </c>
      <c r="C10" s="9" t="s">
        <v>27</v>
      </c>
      <c r="D10" s="10" t="s">
        <v>28</v>
      </c>
      <c r="E10" s="9" t="s">
        <v>29</v>
      </c>
      <c r="F10" s="10" t="s">
        <v>30</v>
      </c>
      <c r="G10" s="9" t="s">
        <v>31</v>
      </c>
      <c r="H10" s="10" t="s">
        <v>32</v>
      </c>
      <c r="I10" s="9" t="s">
        <v>33</v>
      </c>
      <c r="J10" s="9" t="s">
        <v>34</v>
      </c>
      <c r="K10" s="9" t="s">
        <v>35</v>
      </c>
      <c r="L10" s="9" t="s">
        <v>36</v>
      </c>
      <c r="M10" s="10" t="s">
        <v>37</v>
      </c>
      <c r="N10" s="10" t="s">
        <v>38</v>
      </c>
      <c r="O10" s="10" t="s">
        <v>39</v>
      </c>
      <c r="P10" s="38" t="s">
        <v>40</v>
      </c>
      <c r="Q10" s="38" t="s">
        <v>41</v>
      </c>
      <c r="R10" s="38" t="s">
        <v>42</v>
      </c>
      <c r="S10" s="38" t="s">
        <v>43</v>
      </c>
      <c r="T10" s="38" t="s">
        <v>44</v>
      </c>
      <c r="U10" s="38" t="s">
        <v>45</v>
      </c>
      <c r="V10" s="38" t="s">
        <v>46</v>
      </c>
      <c r="W10" s="38" t="s">
        <v>47</v>
      </c>
      <c r="X10" s="38" t="s">
        <v>48</v>
      </c>
      <c r="Y10" s="38" t="s">
        <v>49</v>
      </c>
      <c r="Z10" s="38" t="s">
        <v>50</v>
      </c>
      <c r="AA10" s="38" t="s">
        <v>51</v>
      </c>
      <c r="AB10" s="38" t="s">
        <v>52</v>
      </c>
      <c r="AC10" s="38" t="s">
        <v>53</v>
      </c>
      <c r="AD10" s="40" t="s">
        <v>54</v>
      </c>
      <c r="AE10" s="40" t="s">
        <v>55</v>
      </c>
      <c r="AF10" s="21" t="s">
        <v>56</v>
      </c>
      <c r="AG10" s="21" t="s">
        <v>24</v>
      </c>
      <c r="AH10" s="21" t="s">
        <v>57</v>
      </c>
      <c r="AI10" s="21" t="s">
        <v>129</v>
      </c>
      <c r="AJ10" s="21" t="s">
        <v>25</v>
      </c>
      <c r="AK10" s="21" t="s">
        <v>26</v>
      </c>
      <c r="AL10" s="21" t="s">
        <v>170</v>
      </c>
    </row>
    <row r="11" spans="2:78" ht="60" x14ac:dyDescent="0.25">
      <c r="B11" s="41"/>
      <c r="C11" s="1" t="s">
        <v>58</v>
      </c>
      <c r="D11" s="1" t="s">
        <v>59</v>
      </c>
      <c r="E11" s="1" t="s">
        <v>60</v>
      </c>
      <c r="F11" s="8" t="s">
        <v>61</v>
      </c>
      <c r="G11" s="1" t="s">
        <v>62</v>
      </c>
      <c r="H11" s="1" t="s">
        <v>63</v>
      </c>
      <c r="I11" s="1" t="s">
        <v>64</v>
      </c>
      <c r="J11" s="16" t="s">
        <v>65</v>
      </c>
      <c r="K11" s="16" t="s">
        <v>66</v>
      </c>
      <c r="L11" s="1" t="s">
        <v>67</v>
      </c>
      <c r="M11" s="1" t="s">
        <v>68</v>
      </c>
      <c r="N11" s="1" t="s">
        <v>69</v>
      </c>
      <c r="O11" s="15" t="s">
        <v>70</v>
      </c>
      <c r="P11" s="15" t="s">
        <v>71</v>
      </c>
      <c r="Q11" s="15" t="s">
        <v>72</v>
      </c>
      <c r="R11" s="15" t="s">
        <v>73</v>
      </c>
      <c r="S11" s="15" t="s">
        <v>74</v>
      </c>
      <c r="T11" s="15" t="s">
        <v>75</v>
      </c>
      <c r="U11" s="15" t="s">
        <v>76</v>
      </c>
      <c r="V11" s="15" t="s">
        <v>77</v>
      </c>
      <c r="W11" s="15" t="s">
        <v>78</v>
      </c>
      <c r="X11" s="15" t="s">
        <v>79</v>
      </c>
      <c r="Y11" s="15" t="s">
        <v>80</v>
      </c>
      <c r="Z11" s="15" t="s">
        <v>81</v>
      </c>
      <c r="AA11" s="15" t="s">
        <v>82</v>
      </c>
      <c r="AB11" s="15" t="s">
        <v>83</v>
      </c>
      <c r="AC11" s="15" t="s">
        <v>84</v>
      </c>
      <c r="AD11" s="41"/>
      <c r="AE11" s="42"/>
      <c r="AF11" s="39"/>
      <c r="AG11" s="22" t="s">
        <v>85</v>
      </c>
      <c r="AH11" s="22" t="s">
        <v>86</v>
      </c>
      <c r="AI11" s="22" t="s">
        <v>130</v>
      </c>
      <c r="AJ11" s="1" t="s">
        <v>87</v>
      </c>
      <c r="AK11" s="1" t="s">
        <v>88</v>
      </c>
      <c r="AL11" s="1" t="s">
        <v>119</v>
      </c>
    </row>
    <row r="12" spans="2:78" x14ac:dyDescent="0.25">
      <c r="U12" s="8"/>
    </row>
    <row r="13" spans="2:78" x14ac:dyDescent="0.25">
      <c r="U13" s="8"/>
    </row>
    <row r="14" spans="2:78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3">
    <mergeCell ref="O8:Q8"/>
    <mergeCell ref="O7:AC7"/>
    <mergeCell ref="R8:AC8"/>
  </mergeCells>
  <conditionalFormatting sqref="C10:AK10">
    <cfRule type="expression" dxfId="24" priority="3">
      <formula>MOD(ROW(),2)=1</formula>
    </cfRule>
  </conditionalFormatting>
  <dataValidations count="1">
    <dataValidation type="list" allowBlank="1" showInputMessage="1" showErrorMessage="1" sqref="F11">
      <formula1>DLOV_com_bayer_ipms_view_ltc_ltcEstimatePageDef_ProjectPhaseCodeLookup_LtcProjectId_2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L22"/>
  <sheetViews>
    <sheetView zoomScale="85" zoomScaleNormal="85" workbookViewId="0">
      <pane ySplit="10" topLeftCell="A11" activePane="bottomLeft" state="frozen"/>
      <selection pane="bottomLeft" activeCell="BZ2" sqref="BZ2"/>
    </sheetView>
  </sheetViews>
  <sheetFormatPr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6" width="12.7109375" customWidth="1"/>
    <col min="17" max="28" width="10.7109375" customWidth="1"/>
    <col min="29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90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0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 t="s">
        <v>89</v>
      </c>
    </row>
    <row r="3" spans="2:90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0" x14ac:dyDescent="0.25">
      <c r="E4" s="2"/>
      <c r="P4" s="26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0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0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0" x14ac:dyDescent="0.25">
      <c r="B7" s="2"/>
      <c r="C7" s="2"/>
      <c r="D7" s="2"/>
      <c r="E7" s="2"/>
      <c r="N7" s="66" t="s">
        <v>7</v>
      </c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5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2:90" x14ac:dyDescent="0.25">
      <c r="B8" s="2"/>
      <c r="C8" s="2"/>
      <c r="D8" s="2"/>
      <c r="E8" s="2"/>
      <c r="N8" s="66" t="s">
        <v>8</v>
      </c>
      <c r="O8" s="64"/>
      <c r="P8" s="65"/>
      <c r="Q8" s="67"/>
      <c r="R8" s="68"/>
      <c r="S8" s="68"/>
      <c r="T8" s="68"/>
      <c r="U8" s="68"/>
      <c r="V8" s="68"/>
      <c r="W8" s="68"/>
      <c r="X8" s="68"/>
      <c r="Y8" s="68"/>
      <c r="Z8" s="68"/>
      <c r="AA8" s="68"/>
      <c r="AB8" s="69"/>
      <c r="AC8" s="32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10" spans="2:90" ht="165" x14ac:dyDescent="0.25">
      <c r="B10" s="9" t="s">
        <v>105</v>
      </c>
      <c r="C10" s="10" t="s">
        <v>106</v>
      </c>
      <c r="D10" s="9" t="s">
        <v>107</v>
      </c>
      <c r="E10" s="10" t="s">
        <v>108</v>
      </c>
      <c r="F10" s="9" t="s">
        <v>109</v>
      </c>
      <c r="G10" s="10" t="s">
        <v>110</v>
      </c>
      <c r="H10" s="9" t="s">
        <v>111</v>
      </c>
      <c r="I10" s="9" t="s">
        <v>112</v>
      </c>
      <c r="J10" s="9" t="s">
        <v>113</v>
      </c>
      <c r="K10" s="9" t="s">
        <v>114</v>
      </c>
      <c r="L10" s="10" t="s">
        <v>115</v>
      </c>
      <c r="M10" s="10" t="s">
        <v>116</v>
      </c>
      <c r="N10" s="10" t="s">
        <v>39</v>
      </c>
      <c r="O10" s="38" t="s">
        <v>40</v>
      </c>
      <c r="P10" s="38" t="s">
        <v>41</v>
      </c>
      <c r="Q10" s="38" t="s">
        <v>42</v>
      </c>
      <c r="R10" s="38" t="s">
        <v>43</v>
      </c>
      <c r="S10" s="38" t="s">
        <v>44</v>
      </c>
      <c r="T10" s="38" t="s">
        <v>45</v>
      </c>
      <c r="U10" s="38" t="s">
        <v>46</v>
      </c>
      <c r="V10" s="38" t="s">
        <v>47</v>
      </c>
      <c r="W10" s="38" t="s">
        <v>48</v>
      </c>
      <c r="X10" s="38" t="s">
        <v>49</v>
      </c>
      <c r="Y10" s="38" t="s">
        <v>50</v>
      </c>
      <c r="Z10" s="38" t="s">
        <v>51</v>
      </c>
      <c r="AA10" s="38" t="s">
        <v>52</v>
      </c>
      <c r="AB10" s="38" t="s">
        <v>53</v>
      </c>
      <c r="AC10" s="21" t="s">
        <v>56</v>
      </c>
    </row>
    <row r="11" spans="2:90" ht="48" x14ac:dyDescent="0.25">
      <c r="B11" s="1" t="s">
        <v>58</v>
      </c>
      <c r="C11" s="1" t="s">
        <v>102</v>
      </c>
      <c r="D11" s="1" t="s">
        <v>60</v>
      </c>
      <c r="E11" s="1" t="s">
        <v>103</v>
      </c>
      <c r="F11" s="1" t="s">
        <v>62</v>
      </c>
      <c r="G11" s="1" t="s">
        <v>63</v>
      </c>
      <c r="H11" s="1" t="s">
        <v>64</v>
      </c>
      <c r="I11" s="16" t="s">
        <v>65</v>
      </c>
      <c r="J11" s="16" t="s">
        <v>66</v>
      </c>
      <c r="K11" s="1" t="s">
        <v>67</v>
      </c>
      <c r="L11" s="1" t="s">
        <v>104</v>
      </c>
      <c r="M11" s="1" t="s">
        <v>69</v>
      </c>
      <c r="N11" s="15" t="s">
        <v>70</v>
      </c>
      <c r="O11" s="15" t="s">
        <v>71</v>
      </c>
      <c r="P11" s="15" t="s">
        <v>72</v>
      </c>
      <c r="Q11" s="15" t="s">
        <v>73</v>
      </c>
      <c r="R11" s="15" t="s">
        <v>74</v>
      </c>
      <c r="S11" s="15" t="s">
        <v>75</v>
      </c>
      <c r="T11" s="15" t="s">
        <v>76</v>
      </c>
      <c r="U11" s="15" t="s">
        <v>77</v>
      </c>
      <c r="V11" s="15" t="s">
        <v>78</v>
      </c>
      <c r="W11" s="15" t="s">
        <v>79</v>
      </c>
      <c r="X11" s="15" t="s">
        <v>80</v>
      </c>
      <c r="Y11" s="15" t="s">
        <v>81</v>
      </c>
      <c r="Z11" s="15" t="s">
        <v>82</v>
      </c>
      <c r="AA11" s="15" t="s">
        <v>83</v>
      </c>
      <c r="AB11" s="15" t="s">
        <v>84</v>
      </c>
      <c r="AC11" s="39"/>
      <c r="BA11" s="24"/>
      <c r="BB11" s="15"/>
      <c r="BC11" s="15"/>
      <c r="BD11" s="24"/>
      <c r="BE11" s="24"/>
      <c r="BF11" s="15"/>
      <c r="BG11" s="24"/>
      <c r="BH11" s="15"/>
      <c r="BI11" s="24"/>
      <c r="BJ11" s="15"/>
      <c r="BK11" s="24"/>
      <c r="BL11" s="15"/>
      <c r="BM11" s="24"/>
      <c r="BN11" s="15"/>
      <c r="BO11" s="24"/>
      <c r="BP11" s="15"/>
      <c r="BQ11" s="24"/>
      <c r="BR11" s="15"/>
      <c r="BS11" s="24"/>
      <c r="BT11" s="15"/>
      <c r="BU11" s="24"/>
      <c r="BV11" s="15"/>
      <c r="BW11" s="24"/>
      <c r="BX11" s="15"/>
      <c r="BY11" s="24"/>
      <c r="BZ11" s="15"/>
      <c r="CA11" s="24"/>
      <c r="CB11" s="15"/>
      <c r="CC11" s="24"/>
      <c r="CG11" s="22"/>
      <c r="CH11" s="22"/>
      <c r="CI11" s="22"/>
      <c r="CJ11" s="22"/>
      <c r="CK11" s="25"/>
      <c r="CL11" s="1"/>
    </row>
    <row r="12" spans="2:90" x14ac:dyDescent="0.25">
      <c r="U12" s="8"/>
    </row>
    <row r="13" spans="2:90" x14ac:dyDescent="0.25">
      <c r="U13" s="8"/>
    </row>
    <row r="14" spans="2:90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3">
    <mergeCell ref="N7:AB7"/>
    <mergeCell ref="N8:P8"/>
    <mergeCell ref="Q8:AB8"/>
  </mergeCells>
  <conditionalFormatting sqref="B10:AC10">
    <cfRule type="expression" dxfId="23" priority="3">
      <formula>MOD(ROW(),2)=1</formula>
    </cfRule>
  </conditionalFormatting>
  <dataValidations disablePrompts="1" count="1">
    <dataValidation type="list" allowBlank="1" showInputMessage="1" showErrorMessage="1" sqref="AR11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1"/>
  <sheetViews>
    <sheetView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AC11" sqref="AC11"/>
    </sheetView>
  </sheetViews>
  <sheetFormatPr defaultRowHeight="15" x14ac:dyDescent="0.25"/>
  <cols>
    <col min="1" max="1" width="24.42578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5.85546875" customWidth="1"/>
    <col min="7" max="22" width="8.42578125" customWidth="1"/>
    <col min="23" max="23" width="8.85546875" bestFit="1" customWidth="1"/>
  </cols>
  <sheetData>
    <row r="1" spans="1:21" x14ac:dyDescent="0.25">
      <c r="A1" s="53" t="s">
        <v>137</v>
      </c>
      <c r="B1" t="s">
        <v>148</v>
      </c>
    </row>
    <row r="2" spans="1:21" x14ac:dyDescent="0.25">
      <c r="A2" s="53" t="s">
        <v>147</v>
      </c>
      <c r="B2" t="s">
        <v>148</v>
      </c>
    </row>
    <row r="3" spans="1:21" x14ac:dyDescent="0.25">
      <c r="A3" s="53" t="s">
        <v>142</v>
      </c>
      <c r="B3" t="s">
        <v>148</v>
      </c>
    </row>
    <row r="4" spans="1:21" x14ac:dyDescent="0.25">
      <c r="A4" s="53" t="s">
        <v>143</v>
      </c>
      <c r="B4" t="s">
        <v>148</v>
      </c>
    </row>
    <row r="5" spans="1:21" x14ac:dyDescent="0.25">
      <c r="A5" s="53" t="s">
        <v>144</v>
      </c>
      <c r="B5" t="s">
        <v>148</v>
      </c>
    </row>
    <row r="6" spans="1:21" x14ac:dyDescent="0.25">
      <c r="A6" s="53" t="s">
        <v>145</v>
      </c>
      <c r="B6" t="s">
        <v>148</v>
      </c>
    </row>
    <row r="8" spans="1:21" x14ac:dyDescent="0.25">
      <c r="A8" s="56" t="s">
        <v>136</v>
      </c>
      <c r="B8" s="56" t="s">
        <v>138</v>
      </c>
      <c r="C8" s="56" t="s">
        <v>139</v>
      </c>
      <c r="D8" s="56" t="s">
        <v>141</v>
      </c>
      <c r="E8" s="56" t="s">
        <v>140</v>
      </c>
      <c r="F8" s="56" t="s">
        <v>146</v>
      </c>
      <c r="G8" s="55" t="s">
        <v>154</v>
      </c>
      <c r="H8" s="55" t="s">
        <v>155</v>
      </c>
      <c r="I8" s="55" t="s">
        <v>156</v>
      </c>
      <c r="J8" s="55" t="s">
        <v>157</v>
      </c>
      <c r="K8" s="55" t="s">
        <v>158</v>
      </c>
      <c r="L8" s="55" t="s">
        <v>159</v>
      </c>
      <c r="M8" s="55" t="s">
        <v>160</v>
      </c>
      <c r="N8" s="55" t="s">
        <v>161</v>
      </c>
      <c r="O8" s="55" t="s">
        <v>162</v>
      </c>
      <c r="P8" s="55" t="s">
        <v>163</v>
      </c>
      <c r="Q8" s="55" t="s">
        <v>164</v>
      </c>
      <c r="R8" s="55" t="s">
        <v>165</v>
      </c>
      <c r="S8" s="55" t="s">
        <v>166</v>
      </c>
      <c r="T8" s="55" t="s">
        <v>167</v>
      </c>
      <c r="U8" s="55" t="s">
        <v>168</v>
      </c>
    </row>
    <row r="9" spans="1:21" x14ac:dyDescent="0.25">
      <c r="A9" t="s">
        <v>132</v>
      </c>
      <c r="B9" t="s">
        <v>133</v>
      </c>
      <c r="C9" t="s">
        <v>134</v>
      </c>
      <c r="D9" t="s">
        <v>149</v>
      </c>
      <c r="E9" t="s">
        <v>149</v>
      </c>
      <c r="F9" t="s">
        <v>135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x14ac:dyDescent="0.25">
      <c r="E10" t="s">
        <v>152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x14ac:dyDescent="0.25">
      <c r="D11" t="s">
        <v>152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x14ac:dyDescent="0.25">
      <c r="C12" t="s">
        <v>169</v>
      </c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x14ac:dyDescent="0.25">
      <c r="B13" t="s">
        <v>153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x14ac:dyDescent="0.25">
      <c r="A14" t="s">
        <v>151</v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x14ac:dyDescent="0.25">
      <c r="A15" t="s">
        <v>149</v>
      </c>
      <c r="B15" t="s">
        <v>149</v>
      </c>
      <c r="C15" t="s">
        <v>149</v>
      </c>
      <c r="D15" t="s">
        <v>149</v>
      </c>
      <c r="E15" t="s">
        <v>149</v>
      </c>
      <c r="F15" t="s">
        <v>149</v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x14ac:dyDescent="0.25">
      <c r="E16" t="s">
        <v>152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x14ac:dyDescent="0.25">
      <c r="D17" t="s">
        <v>152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x14ac:dyDescent="0.25">
      <c r="C18" t="s">
        <v>152</v>
      </c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x14ac:dyDescent="0.25">
      <c r="B19" t="s">
        <v>152</v>
      </c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x14ac:dyDescent="0.25">
      <c r="A20" t="s">
        <v>152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x14ac:dyDescent="0.25">
      <c r="A21" t="s">
        <v>150</v>
      </c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/>
  </sheetViews>
  <sheetFormatPr defaultRowHeight="15" x14ac:dyDescent="0.25"/>
  <sheetData>
    <row r="1" spans="1:5" x14ac:dyDescent="0.25">
      <c r="A1" t="s">
        <v>171</v>
      </c>
      <c r="B1">
        <v>1</v>
      </c>
      <c r="C1">
        <v>1</v>
      </c>
      <c r="D1" t="s">
        <v>0</v>
      </c>
      <c r="E1" t="s">
        <v>1</v>
      </c>
    </row>
    <row r="2" spans="1:5" x14ac:dyDescent="0.25">
      <c r="D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13"/>
  <sheetViews>
    <sheetView workbookViewId="0"/>
  </sheetViews>
  <sheetFormatPr defaultRowHeight="15" x14ac:dyDescent="0.25"/>
  <sheetData>
    <row r="1" spans="1:39" x14ac:dyDescent="0.25">
      <c r="A1">
        <v>2</v>
      </c>
      <c r="B1">
        <v>15</v>
      </c>
    </row>
    <row r="2" spans="1:39" x14ac:dyDescent="0.25">
      <c r="A2" t="s">
        <v>2</v>
      </c>
      <c r="C2" t="s">
        <v>173</v>
      </c>
    </row>
    <row r="3" spans="1:39" x14ac:dyDescent="0.25">
      <c r="A3" t="s">
        <v>3</v>
      </c>
      <c r="B3" t="str">
        <f>'FTE Estimate'!1:1048576</f>
        <v>Rightclick =&gt; Filter =&gt; Filter value of active cell</v>
      </c>
      <c r="C3" t="s">
        <v>174</v>
      </c>
    </row>
    <row r="4" spans="1:39" x14ac:dyDescent="0.25">
      <c r="A4" t="s">
        <v>4</v>
      </c>
      <c r="B4" t="str">
        <f>'FTE Estimate'!$B$10</f>
        <v>Delete</v>
      </c>
      <c r="C4" t="s">
        <v>172</v>
      </c>
      <c r="D4" t="str">
        <f>'FTE Estimate'!$C$10</f>
        <v>#{bindings.LtcEstimateView.hints.ProgramName.label}</v>
      </c>
      <c r="E4" t="str">
        <f>'FTE Estimate'!$D$10</f>
        <v>#{bindings.LtcEstimateView.hints.LtcProjectId.label}</v>
      </c>
      <c r="F4" t="str">
        <f>'FTE Estimate'!$E$10</f>
        <v>#{bindings.LtcEstimateView.hints.ProjectName.label}</v>
      </c>
      <c r="G4" t="str">
        <f>'FTE Estimate'!$F$10</f>
        <v>#{bindings.LtcEstimateView.hints.ProjectPhaseCode.label}</v>
      </c>
      <c r="H4" t="str">
        <f>'FTE Estimate'!$G$10</f>
        <v>#{bindings.LtcEstimateView.hints.StudyPhaseCode.label}</v>
      </c>
      <c r="I4" t="str">
        <f>'FTE Estimate'!$H$10</f>
        <v>#{bindings.LtcEstimateView.hints.StudyId.label}</v>
      </c>
      <c r="J4" t="str">
        <f>'FTE Estimate'!$I$10</f>
        <v>#{bindings.LtcEstimateView.hints.StudyName.label}</v>
      </c>
      <c r="K4" t="str">
        <f>'FTE Estimate'!$J$10</f>
        <v>#{bindings.LtcEstimateView.hints.StudyFpfv.label}</v>
      </c>
      <c r="L4" t="str">
        <f>'FTE Estimate'!$K$10</f>
        <v>#{bindings.LtcEstimateView.hints.StudyLplv.label}</v>
      </c>
      <c r="M4" t="str">
        <f>'FTE Estimate'!$L$10</f>
        <v>#{bindings.LtcEstimateView.hints.TopFunctionName.label}</v>
      </c>
      <c r="N4" t="str">
        <f>'FTE Estimate'!$M$10</f>
        <v>#{bindings.LtcEstimateView.hints.FunctionCode.label}</v>
      </c>
      <c r="O4" t="str">
        <f>'FTE Estimate'!$N$10</f>
        <v>#{bindings.LtcEstimateView.hints.Comments.label}</v>
      </c>
      <c r="P4" t="str">
        <f>'FTE Estimate'!$O$10</f>
        <v>#{bindings.StartYear} FTE</v>
      </c>
      <c r="Q4" t="str">
        <f>'FTE Estimate'!$P$10</f>
        <v>=concatenate(#{bindings.StartYear}+1," FTE")</v>
      </c>
      <c r="R4" t="str">
        <f>'FTE Estimate'!$Q$10</f>
        <v>=concatenate(#{bindings.StartYear}+2," FTE")</v>
      </c>
      <c r="S4" t="str">
        <f>'FTE Estimate'!$R$10</f>
        <v>=concatenate(#{bindings.StartYear}+3," FTE")</v>
      </c>
      <c r="T4" t="str">
        <f>'FTE Estimate'!$S$10</f>
        <v>=concatenate(#{bindings.StartYear}+4," FTE")</v>
      </c>
      <c r="U4" t="str">
        <f>'FTE Estimate'!$T$10</f>
        <v>=concatenate(#{bindings.StartYear}+5," FTE")</v>
      </c>
      <c r="V4" t="str">
        <f>'FTE Estimate'!$U$10</f>
        <v>=concatenate(#{bindings.StartYear}+6," FTE")</v>
      </c>
      <c r="W4" t="str">
        <f>'FTE Estimate'!$V$10</f>
        <v>=concatenate(#{bindings.StartYear}+7," FTE")</v>
      </c>
      <c r="X4" t="str">
        <f>'FTE Estimate'!$W$10</f>
        <v>=concatenate(#{bindings.StartYear}+8," FTE")</v>
      </c>
      <c r="Y4" t="str">
        <f>'FTE Estimate'!$X$10</f>
        <v>=concatenate(#{bindings.StartYear}+9," FTE")</v>
      </c>
      <c r="Z4" t="str">
        <f>'FTE Estimate'!$Y$10</f>
        <v>=concatenate(#{bindings.StartYear}+10," FTE")</v>
      </c>
      <c r="AA4" t="str">
        <f>'FTE Estimate'!$Z$10</f>
        <v>=concatenate(#{bindings.StartYear}+11," FTE")</v>
      </c>
      <c r="AB4" t="str">
        <f>'FTE Estimate'!$AA$10</f>
        <v>=concatenate(#{bindings.StartYear}+12," FTE")</v>
      </c>
      <c r="AC4" t="str">
        <f>'FTE Estimate'!$AB$10</f>
        <v>=concatenate(#{bindings.StartYear}+13," FTE")</v>
      </c>
      <c r="AD4" t="str">
        <f>'FTE Estimate'!$AC$10</f>
        <v>=concatenate(#{bindings.StartYear}+14," FTE")</v>
      </c>
      <c r="AE4" t="str">
        <f>'FTE Estimate'!$AD$10</f>
        <v>#{_ADFDIres['COMPONENTS_TABLE_CHANGED_COL_LABEL']}</v>
      </c>
      <c r="AF4" t="str">
        <f>'FTE Estimate'!$AE$10</f>
        <v>#{_ADFDIres['COMPONENTS_TABLE_STATUS_COL_LABEL']}</v>
      </c>
      <c r="AG4" t="str">
        <f>'FTE Estimate'!$AF$10</f>
        <v>#{_ADFDIres['COMPONENTS_TABLE_ROWKEY_COL_LABEL']} - Service</v>
      </c>
      <c r="AH4" t="str">
        <f>'FTE Estimate'!$AG$10</f>
        <v>StudyProjectPhaseName - Service</v>
      </c>
      <c r="AI4" t="str">
        <f>'FTE Estimate'!$AH$10</f>
        <v>#{bindings.LtcEstimateView.hints.ProjectPhaseCode.label} - Service</v>
      </c>
      <c r="AJ4" t="str">
        <f>'FTE Estimate'!$AI$10</f>
        <v>ProjectPhaseLimited - Service</v>
      </c>
      <c r="AK4" t="str">
        <f>'FTE Estimate'!$AJ$10</f>
        <v>IsManual - Service</v>
      </c>
      <c r="AL4" t="str">
        <f>'FTE Estimate'!$AK$10</f>
        <v>IsExternalFTE-service</v>
      </c>
      <c r="AM4" t="str">
        <f>'FTE Estimate'!$AL$10</f>
        <v>ScopeCode-Service</v>
      </c>
    </row>
    <row r="5" spans="1:39" x14ac:dyDescent="0.25">
      <c r="A5" t="s">
        <v>10</v>
      </c>
      <c r="B5" t="str">
        <f>'FTE Estimate'!$BZ$2</f>
        <v>#{bindings.StartYear}</v>
      </c>
      <c r="C5" t="s">
        <v>12</v>
      </c>
    </row>
    <row r="6" spans="1:39" x14ac:dyDescent="0.25">
      <c r="A6" t="s">
        <v>3</v>
      </c>
      <c r="B6" t="str">
        <f>Pivot!1:1048576</f>
        <v>(All)</v>
      </c>
      <c r="C6" t="s">
        <v>16</v>
      </c>
    </row>
    <row r="7" spans="1:39" x14ac:dyDescent="0.25">
      <c r="A7" t="s">
        <v>3</v>
      </c>
      <c r="B7">
        <f>Discrepancies!1:1048576</f>
        <v>0</v>
      </c>
      <c r="C7" t="s">
        <v>22</v>
      </c>
    </row>
    <row r="8" spans="1:39" x14ac:dyDescent="0.25">
      <c r="A8" t="s">
        <v>4</v>
      </c>
      <c r="B8" t="str">
        <f>Discrepancies!$C$10</f>
        <v>#{bindings.LtcEstimateDicrepanciesView.hints.ProgramName.label}</v>
      </c>
      <c r="C8" t="s">
        <v>117</v>
      </c>
      <c r="D8" t="str">
        <f>Discrepancies!$D$10</f>
        <v>#{bindings.LtcEstimateDicrepanciesView.hints.ProjectCode.label}</v>
      </c>
      <c r="E8" t="str">
        <f>Discrepancies!$E$10</f>
        <v>#{bindings.LtcEstimateDicrepanciesView.hints.ProjectName.label}</v>
      </c>
      <c r="F8" t="str">
        <f>Discrepancies!$F$10</f>
        <v>#{bindings.LtcEstimateDicrepanciesView.hints.ProjectPhaseName.label}</v>
      </c>
      <c r="G8" t="str">
        <f>Discrepancies!$G$10</f>
        <v>#{bindings.LtcEstimateDicrepanciesView.hints.StudyPhaseCode.label}</v>
      </c>
      <c r="H8" t="str">
        <f>Discrepancies!$H$10</f>
        <v>#{bindings.LtcEstimateDicrepanciesView.hints.StudyId.label}</v>
      </c>
      <c r="I8" t="str">
        <f>Discrepancies!$I$10</f>
        <v>#{bindings.LtcEstimateDicrepanciesView.hints.StudyName.label}</v>
      </c>
      <c r="J8" t="str">
        <f>Discrepancies!$J$10</f>
        <v>#{bindings.LtcEstimateDicrepanciesView.hints.StudyFpfv.label}</v>
      </c>
      <c r="K8" t="str">
        <f>Discrepancies!$K$10</f>
        <v>#{bindings.LtcEstimateDicrepanciesView.hints.StudyLplv.label}</v>
      </c>
      <c r="L8" t="str">
        <f>Discrepancies!$L$10</f>
        <v>#{bindings.LtcEstimateDicrepanciesView.hints.TopFunctionName.label}</v>
      </c>
      <c r="M8" t="str">
        <f>Discrepancies!$M$10</f>
        <v>#{bindings.LtcEstimateDicrepanciesView.hints.FunctionName.label}</v>
      </c>
      <c r="N8" t="str">
        <f>Discrepancies!$N$10</f>
        <v>#{bindings.LtcEstimateDicrepanciesView.hints.Comments.label}</v>
      </c>
      <c r="O8" t="str">
        <f>Discrepancies!$O$10</f>
        <v>#{bindings.StartYear} FTE</v>
      </c>
      <c r="P8" t="str">
        <f>Discrepancies!$P$10</f>
        <v>=concatenate(#{bindings.StartYear}+1," FTE")</v>
      </c>
      <c r="Q8" t="str">
        <f>Discrepancies!$Q$10</f>
        <v>=concatenate(#{bindings.StartYear}+2," FTE")</v>
      </c>
      <c r="R8" t="str">
        <f>Discrepancies!$R$10</f>
        <v>=concatenate(#{bindings.StartYear}+3," FTE")</v>
      </c>
      <c r="S8" t="str">
        <f>Discrepancies!$S$10</f>
        <v>=concatenate(#{bindings.StartYear}+4," FTE")</v>
      </c>
      <c r="T8" t="str">
        <f>Discrepancies!$T$10</f>
        <v>=concatenate(#{bindings.StartYear}+5," FTE")</v>
      </c>
      <c r="U8" t="str">
        <f>Discrepancies!$U$10</f>
        <v>=concatenate(#{bindings.StartYear}+6," FTE")</v>
      </c>
      <c r="V8" t="str">
        <f>Discrepancies!$V$10</f>
        <v>=concatenate(#{bindings.StartYear}+7," FTE")</v>
      </c>
      <c r="W8" t="str">
        <f>Discrepancies!$W$10</f>
        <v>=concatenate(#{bindings.StartYear}+8," FTE")</v>
      </c>
      <c r="X8" t="str">
        <f>Discrepancies!$X$10</f>
        <v>=concatenate(#{bindings.StartYear}+9," FTE")</v>
      </c>
      <c r="Y8" t="str">
        <f>Discrepancies!$Y$10</f>
        <v>=concatenate(#{bindings.StartYear}+10," FTE")</v>
      </c>
      <c r="Z8" t="str">
        <f>Discrepancies!$Z$10</f>
        <v>=concatenate(#{bindings.StartYear}+11," FTE")</v>
      </c>
      <c r="AA8" t="str">
        <f>Discrepancies!$AA$10</f>
        <v>=concatenate(#{bindings.StartYear}+12," FTE")</v>
      </c>
      <c r="AB8" t="str">
        <f>Discrepancies!$AB$10</f>
        <v>=concatenate(#{bindings.StartYear}+13," FTE")</v>
      </c>
      <c r="AC8" t="str">
        <f>Discrepancies!$AC$10</f>
        <v>=concatenate(#{bindings.StartYear}+14," FTE")</v>
      </c>
      <c r="AD8" t="str">
        <f>Discrepancies!$AD$10</f>
        <v>#{_ADFDIres['COMPONENTS_TABLE_ROWKEY_COL_LABEL']} - Service</v>
      </c>
    </row>
    <row r="9" spans="1:39" x14ac:dyDescent="0.25">
      <c r="A9" t="s">
        <v>3</v>
      </c>
      <c r="B9">
        <f>'FTE Estimate ReadOnly'!1:1048576</f>
        <v>0</v>
      </c>
      <c r="C9" t="s">
        <v>131</v>
      </c>
    </row>
    <row r="10" spans="1:39" x14ac:dyDescent="0.25">
      <c r="A10" t="s">
        <v>4</v>
      </c>
      <c r="B10" t="str">
        <f>'FTE Estimate ReadOnly'!$B$10</f>
        <v>#{bindings.LtcEstimateReadonlyView.hints.ProgramName.label}</v>
      </c>
      <c r="C10" t="s">
        <v>118</v>
      </c>
      <c r="D10" t="str">
        <f>'FTE Estimate ReadOnly'!$C$10</f>
        <v>#{bindings.LtcEstimateReadonlyView.hints.ProjectCode.label}</v>
      </c>
      <c r="E10" t="str">
        <f>'FTE Estimate ReadOnly'!$D$10</f>
        <v>#{bindings.LtcEstimateReadonlyView.hints.ProjectName.label}</v>
      </c>
      <c r="F10" t="str">
        <f>'FTE Estimate ReadOnly'!$E$10</f>
        <v>#{bindings.LtcEstimateReadonlyView.hints.ProjectPhaseName.label}</v>
      </c>
      <c r="G10" t="str">
        <f>'FTE Estimate ReadOnly'!$F$10</f>
        <v>#{bindings.LtcEstimateReadonlyView.hints.StudyPhaseCode.label}</v>
      </c>
      <c r="H10" t="str">
        <f>'FTE Estimate ReadOnly'!$G$10</f>
        <v>#{bindings.LtcEstimateReadonlyView.hints.StudyId.label}</v>
      </c>
      <c r="I10" t="str">
        <f>'FTE Estimate ReadOnly'!$H$10</f>
        <v>#{bindings.LtcEstimateReadonlyView.hints.StudyName.label}</v>
      </c>
      <c r="J10" t="str">
        <f>'FTE Estimate ReadOnly'!$I$10</f>
        <v>#{bindings.LtcEstimateReadonlyView.hints.StudyFpfv.label}</v>
      </c>
      <c r="K10" t="str">
        <f>'FTE Estimate ReadOnly'!$J$10</f>
        <v>#{bindings.LtcEstimateReadonlyView.hints.StudyLplv.label}</v>
      </c>
      <c r="L10" t="str">
        <f>'FTE Estimate ReadOnly'!$K$10</f>
        <v>#{bindings.LtcEstimateReadonlyView.hints.TopFunctionName.label}</v>
      </c>
      <c r="M10" t="str">
        <f>'FTE Estimate ReadOnly'!$L$10</f>
        <v>#{bindings.LtcEstimateReadonlyView.hints.FunctionName.label}</v>
      </c>
      <c r="N10" t="str">
        <f>'FTE Estimate ReadOnly'!$M$10</f>
        <v>#{bindings.LtcEstimateReadonlyView.hints.Comments.label}</v>
      </c>
      <c r="O10" t="str">
        <f>'FTE Estimate ReadOnly'!$N$10</f>
        <v>#{bindings.StartYear} FTE</v>
      </c>
      <c r="P10" t="str">
        <f>'FTE Estimate ReadOnly'!$O$10</f>
        <v>=concatenate(#{bindings.StartYear}+1," FTE")</v>
      </c>
      <c r="Q10" t="str">
        <f>'FTE Estimate ReadOnly'!$P$10</f>
        <v>=concatenate(#{bindings.StartYear}+2," FTE")</v>
      </c>
      <c r="R10" t="str">
        <f>'FTE Estimate ReadOnly'!$Q$10</f>
        <v>=concatenate(#{bindings.StartYear}+3," FTE")</v>
      </c>
      <c r="S10" t="str">
        <f>'FTE Estimate ReadOnly'!$R$10</f>
        <v>=concatenate(#{bindings.StartYear}+4," FTE")</v>
      </c>
      <c r="T10" t="str">
        <f>'FTE Estimate ReadOnly'!$S$10</f>
        <v>=concatenate(#{bindings.StartYear}+5," FTE")</v>
      </c>
      <c r="U10" t="str">
        <f>'FTE Estimate ReadOnly'!$T$10</f>
        <v>=concatenate(#{bindings.StartYear}+6," FTE")</v>
      </c>
      <c r="V10" t="str">
        <f>'FTE Estimate ReadOnly'!$U$10</f>
        <v>=concatenate(#{bindings.StartYear}+7," FTE")</v>
      </c>
      <c r="W10" t="str">
        <f>'FTE Estimate ReadOnly'!$V$10</f>
        <v>=concatenate(#{bindings.StartYear}+8," FTE")</v>
      </c>
      <c r="X10" t="str">
        <f>'FTE Estimate ReadOnly'!$W$10</f>
        <v>=concatenate(#{bindings.StartYear}+9," FTE")</v>
      </c>
      <c r="Y10" t="str">
        <f>'FTE Estimate ReadOnly'!$X$10</f>
        <v>=concatenate(#{bindings.StartYear}+10," FTE")</v>
      </c>
      <c r="Z10" t="str">
        <f>'FTE Estimate ReadOnly'!$Y$10</f>
        <v>=concatenate(#{bindings.StartYear}+11," FTE")</v>
      </c>
      <c r="AA10" t="str">
        <f>'FTE Estimate ReadOnly'!$Z$10</f>
        <v>=concatenate(#{bindings.StartYear}+12," FTE")</v>
      </c>
      <c r="AB10" t="str">
        <f>'FTE Estimate ReadOnly'!$AA$10</f>
        <v>=concatenate(#{bindings.StartYear}+13," FTE")</v>
      </c>
      <c r="AC10" t="str">
        <f>'FTE Estimate ReadOnly'!$AB$10</f>
        <v>=concatenate(#{bindings.StartYear}+14," FTE")</v>
      </c>
      <c r="AD10" t="str">
        <f>'FTE Estimate ReadOnly'!$AC$10</f>
        <v>#{_ADFDIres['COMPONENTS_TABLE_ROWKEY_COL_LABEL']} - Service</v>
      </c>
    </row>
    <row r="11" spans="1:39" x14ac:dyDescent="0.25">
      <c r="A11" t="s">
        <v>10</v>
      </c>
      <c r="B11" t="str">
        <f>'FTE Estimate ReadOnly'!$BZ$2</f>
        <v>#{bindings.StartYear}</v>
      </c>
      <c r="C11" t="s">
        <v>17</v>
      </c>
    </row>
    <row r="12" spans="1:39" x14ac:dyDescent="0.25">
      <c r="A12" t="s">
        <v>3</v>
      </c>
      <c r="B12">
        <f>Config!1:1048576</f>
        <v>0</v>
      </c>
      <c r="C12" t="s">
        <v>18</v>
      </c>
    </row>
    <row r="13" spans="1:39" x14ac:dyDescent="0.25">
      <c r="A13" t="s">
        <v>10</v>
      </c>
      <c r="B13" t="str">
        <f>Config!$F$8</f>
        <v>#{bindings.StartYear}</v>
      </c>
      <c r="C13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7:AD11"/>
  <sheetViews>
    <sheetView zoomScale="85" zoomScaleNormal="85" workbookViewId="0">
      <pane ySplit="10" topLeftCell="A11" activePane="bottomLeft" state="frozen"/>
      <selection pane="bottomLeft" activeCell="F8" sqref="F8"/>
    </sheetView>
  </sheetViews>
  <sheetFormatPr defaultRowHeight="15" x14ac:dyDescent="0.25"/>
  <cols>
    <col min="2" max="2" width="0" hidden="1" customWidth="1"/>
    <col min="3" max="3" width="16.42578125" customWidth="1"/>
    <col min="4" max="4" width="10" customWidth="1"/>
    <col min="5" max="5" width="19.28515625" customWidth="1"/>
    <col min="6" max="6" width="11.85546875" customWidth="1"/>
    <col min="9" max="9" width="21.42578125" customWidth="1"/>
    <col min="10" max="11" width="10.28515625" customWidth="1"/>
    <col min="12" max="13" width="19.28515625" customWidth="1"/>
    <col min="14" max="14" width="9.140625" customWidth="1"/>
    <col min="16" max="16" width="27.5703125" customWidth="1"/>
    <col min="17" max="19" width="9.140625" customWidth="1"/>
    <col min="30" max="30" width="9.140625" hidden="1" customWidth="1"/>
    <col min="31" max="31" width="0" hidden="1" customWidth="1"/>
    <col min="38" max="38" width="0" hidden="1" customWidth="1"/>
  </cols>
  <sheetData>
    <row r="7" spans="3:30" ht="18.75" x14ac:dyDescent="0.3">
      <c r="C7" s="37" t="s">
        <v>11</v>
      </c>
    </row>
    <row r="10" spans="3:30" ht="150" x14ac:dyDescent="0.25">
      <c r="C10" s="9" t="s">
        <v>90</v>
      </c>
      <c r="D10" s="10" t="s">
        <v>91</v>
      </c>
      <c r="E10" s="9" t="s">
        <v>92</v>
      </c>
      <c r="F10" s="10" t="s">
        <v>93</v>
      </c>
      <c r="G10" s="9" t="s">
        <v>94</v>
      </c>
      <c r="H10" s="10" t="s">
        <v>95</v>
      </c>
      <c r="I10" s="9" t="s">
        <v>96</v>
      </c>
      <c r="J10" s="9" t="s">
        <v>97</v>
      </c>
      <c r="K10" s="9" t="s">
        <v>98</v>
      </c>
      <c r="L10" s="9" t="s">
        <v>99</v>
      </c>
      <c r="M10" s="10" t="s">
        <v>100</v>
      </c>
      <c r="N10" s="10" t="s">
        <v>101</v>
      </c>
      <c r="O10" s="10" t="s">
        <v>39</v>
      </c>
      <c r="P10" s="38" t="s">
        <v>40</v>
      </c>
      <c r="Q10" s="38" t="s">
        <v>41</v>
      </c>
      <c r="R10" s="38" t="s">
        <v>42</v>
      </c>
      <c r="S10" s="38" t="s">
        <v>43</v>
      </c>
      <c r="T10" s="38" t="s">
        <v>44</v>
      </c>
      <c r="U10" s="38" t="s">
        <v>45</v>
      </c>
      <c r="V10" s="38" t="s">
        <v>46</v>
      </c>
      <c r="W10" s="38" t="s">
        <v>47</v>
      </c>
      <c r="X10" s="38" t="s">
        <v>48</v>
      </c>
      <c r="Y10" s="38" t="s">
        <v>49</v>
      </c>
      <c r="Z10" s="38" t="s">
        <v>50</v>
      </c>
      <c r="AA10" s="38" t="s">
        <v>51</v>
      </c>
      <c r="AB10" s="38" t="s">
        <v>52</v>
      </c>
      <c r="AC10" s="38" t="s">
        <v>53</v>
      </c>
      <c r="AD10" s="21" t="s">
        <v>56</v>
      </c>
    </row>
    <row r="11" spans="3:30" ht="60" x14ac:dyDescent="0.25">
      <c r="C11" s="1" t="s">
        <v>58</v>
      </c>
      <c r="D11" s="1" t="s">
        <v>102</v>
      </c>
      <c r="E11" s="1" t="s">
        <v>60</v>
      </c>
      <c r="F11" s="1" t="s">
        <v>103</v>
      </c>
      <c r="G11" s="1" t="s">
        <v>62</v>
      </c>
      <c r="H11" s="1" t="s">
        <v>63</v>
      </c>
      <c r="I11" s="1" t="s">
        <v>64</v>
      </c>
      <c r="J11" s="16" t="s">
        <v>65</v>
      </c>
      <c r="K11" s="16" t="s">
        <v>66</v>
      </c>
      <c r="L11" s="1" t="s">
        <v>67</v>
      </c>
      <c r="M11" s="1" t="s">
        <v>104</v>
      </c>
      <c r="N11" s="1" t="s">
        <v>69</v>
      </c>
      <c r="O11" s="15" t="s">
        <v>70</v>
      </c>
      <c r="P11" s="15" t="s">
        <v>71</v>
      </c>
      <c r="Q11" s="15" t="s">
        <v>72</v>
      </c>
      <c r="R11" s="15" t="s">
        <v>73</v>
      </c>
      <c r="S11" s="15" t="s">
        <v>74</v>
      </c>
      <c r="T11" s="15" t="s">
        <v>75</v>
      </c>
      <c r="U11" s="15" t="s">
        <v>76</v>
      </c>
      <c r="V11" s="15" t="s">
        <v>77</v>
      </c>
      <c r="W11" s="15" t="s">
        <v>78</v>
      </c>
      <c r="X11" s="15" t="s">
        <v>79</v>
      </c>
      <c r="Y11" s="15" t="s">
        <v>80</v>
      </c>
      <c r="Z11" s="15" t="s">
        <v>81</v>
      </c>
      <c r="AA11" s="15" t="s">
        <v>82</v>
      </c>
      <c r="AB11" s="15" t="s">
        <v>83</v>
      </c>
      <c r="AC11" s="15" t="s">
        <v>84</v>
      </c>
      <c r="AD11" s="39"/>
    </row>
  </sheetData>
  <sheetProtection formatCells="0" formatColumns="0" formatRows="0" insertColumns="0" insertRows="0" deleteColumns="0" deleteRows="0" autoFilter="0" pivotTables="0"/>
  <conditionalFormatting sqref="C10:AC10">
    <cfRule type="expression" dxfId="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25"/>
  <sheetViews>
    <sheetView workbookViewId="0">
      <selection activeCell="F8" sqref="F8"/>
    </sheetView>
  </sheetViews>
  <sheetFormatPr defaultRowHeight="15" x14ac:dyDescent="0.25"/>
  <cols>
    <col min="2" max="2" width="22.140625" customWidth="1"/>
    <col min="3" max="3" width="37.5703125" customWidth="1"/>
    <col min="5" max="5" width="32" customWidth="1"/>
    <col min="6" max="6" width="27.7109375" customWidth="1"/>
    <col min="7" max="7" width="29" customWidth="1"/>
    <col min="8" max="8" width="8.28515625" customWidth="1"/>
    <col min="9" max="9" width="37.140625" customWidth="1"/>
  </cols>
  <sheetData>
    <row r="2" spans="2:7" x14ac:dyDescent="0.25">
      <c r="B2" s="46" t="s">
        <v>19</v>
      </c>
      <c r="C2" s="46"/>
      <c r="E2" s="47"/>
      <c r="F2" s="47"/>
      <c r="G2" s="47"/>
    </row>
    <row r="3" spans="2:7" x14ac:dyDescent="0.25">
      <c r="B3" s="9"/>
    </row>
    <row r="4" spans="2:7" x14ac:dyDescent="0.25">
      <c r="B4" s="10"/>
      <c r="C4" s="22"/>
      <c r="E4" s="49" t="s">
        <v>121</v>
      </c>
      <c r="F4" s="45" t="s">
        <v>122</v>
      </c>
    </row>
    <row r="5" spans="2:7" x14ac:dyDescent="0.25">
      <c r="B5" s="11"/>
      <c r="C5" s="21"/>
      <c r="E5" s="50" t="s">
        <v>123</v>
      </c>
      <c r="F5" s="43"/>
    </row>
    <row r="6" spans="2:7" x14ac:dyDescent="0.25">
      <c r="B6" s="12"/>
      <c r="C6" s="23"/>
      <c r="E6" s="50" t="s">
        <v>124</v>
      </c>
      <c r="F6" s="43"/>
    </row>
    <row r="7" spans="2:7" ht="20.25" customHeight="1" x14ac:dyDescent="0.25">
      <c r="B7" s="13"/>
      <c r="C7" s="33" t="s">
        <v>20</v>
      </c>
      <c r="E7" s="51" t="s">
        <v>125</v>
      </c>
      <c r="F7" s="43"/>
    </row>
    <row r="8" spans="2:7" x14ac:dyDescent="0.25">
      <c r="B8" s="15"/>
      <c r="C8" t="s">
        <v>21</v>
      </c>
      <c r="E8" s="51" t="s">
        <v>126</v>
      </c>
      <c r="F8" s="48" t="s">
        <v>89</v>
      </c>
    </row>
    <row r="9" spans="2:7" x14ac:dyDescent="0.25">
      <c r="B9" s="16"/>
      <c r="E9" s="51" t="s">
        <v>127</v>
      </c>
      <c r="F9" s="43"/>
    </row>
    <row r="10" spans="2:7" x14ac:dyDescent="0.25">
      <c r="B10" s="17"/>
      <c r="E10" s="50"/>
      <c r="F10" s="43"/>
    </row>
    <row r="11" spans="2:7" x14ac:dyDescent="0.25">
      <c r="E11" s="50"/>
      <c r="F11" s="43"/>
    </row>
    <row r="12" spans="2:7" x14ac:dyDescent="0.25">
      <c r="E12" s="50"/>
      <c r="F12" s="43"/>
    </row>
    <row r="13" spans="2:7" x14ac:dyDescent="0.25">
      <c r="E13" s="50"/>
      <c r="F13" s="43"/>
    </row>
    <row r="14" spans="2:7" x14ac:dyDescent="0.25">
      <c r="E14" s="50"/>
      <c r="F14" s="43"/>
    </row>
    <row r="15" spans="2:7" x14ac:dyDescent="0.25">
      <c r="E15" s="50"/>
      <c r="F15" s="43"/>
    </row>
    <row r="16" spans="2:7" x14ac:dyDescent="0.25">
      <c r="E16" s="50"/>
      <c r="F16" s="43"/>
    </row>
    <row r="17" spans="5:6" x14ac:dyDescent="0.25">
      <c r="E17" s="50"/>
      <c r="F17" s="43"/>
    </row>
    <row r="18" spans="5:6" x14ac:dyDescent="0.25">
      <c r="E18" s="50"/>
      <c r="F18" s="43"/>
    </row>
    <row r="19" spans="5:6" x14ac:dyDescent="0.25">
      <c r="E19" s="50"/>
      <c r="F19" s="43"/>
    </row>
    <row r="20" spans="5:6" x14ac:dyDescent="0.25">
      <c r="E20" s="50"/>
      <c r="F20" s="43"/>
    </row>
    <row r="21" spans="5:6" x14ac:dyDescent="0.25">
      <c r="E21" s="50"/>
      <c r="F21" s="43"/>
    </row>
    <row r="22" spans="5:6" x14ac:dyDescent="0.25">
      <c r="E22" s="50"/>
      <c r="F22" s="43"/>
    </row>
    <row r="23" spans="5:6" x14ac:dyDescent="0.25">
      <c r="E23" s="50"/>
      <c r="F23" s="43"/>
    </row>
    <row r="24" spans="5:6" x14ac:dyDescent="0.25">
      <c r="E24" s="50"/>
      <c r="F24" s="43"/>
    </row>
    <row r="25" spans="5:6" x14ac:dyDescent="0.25">
      <c r="E25" s="52"/>
      <c r="F25" s="44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{C8FF2FCD-5952-45D8-A525-0BA30392ABFC}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FF2FCD-5952-45D8-A525-0BA30392ABFC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FTE Estimate</vt:lpstr>
      <vt:lpstr>FTE Estimate ReadOnly</vt:lpstr>
      <vt:lpstr>Pivot</vt:lpstr>
      <vt:lpstr>_ADFDI_Parameters</vt:lpstr>
      <vt:lpstr>_ADFDI_Metadata</vt:lpstr>
      <vt:lpstr>Discrepancies</vt:lpstr>
      <vt:lpstr>Config</vt:lpstr>
      <vt:lpstr>DbProjectPhase</vt:lpstr>
      <vt:lpstr>IsManual</vt:lpstr>
      <vt:lpstr>y10Ltc</vt:lpstr>
      <vt:lpstr>'FTE Estimate ReadOnly'!y11Ltc</vt:lpstr>
      <vt:lpstr>y12Ltc</vt:lpstr>
      <vt:lpstr>y13Ltc</vt:lpstr>
      <vt:lpstr>y14Ltc</vt:lpstr>
      <vt:lpstr>y15Ltc</vt:lpstr>
      <vt:lpstr>y1Ltc</vt:lpstr>
      <vt:lpstr>y2Ltc</vt:lpstr>
      <vt:lpstr>y3Ltc</vt:lpstr>
      <vt:lpstr>y4Ltc</vt:lpstr>
      <vt:lpstr>y5Ltc</vt:lpstr>
      <vt:lpstr>y6Ltc</vt:lpstr>
      <vt:lpstr>y7Ltc</vt:lpstr>
      <vt:lpstr>y8Ltc</vt:lpstr>
      <vt:lpstr>y9Ltc</vt:lpstr>
      <vt:lpstr>PivotTableE</vt:lpstr>
      <vt:lpstr>PivotTableR</vt:lpstr>
      <vt:lpstr>ProjectCode</vt:lpstr>
      <vt:lpstr>ProjectPhase</vt:lpstr>
      <vt:lpstr>ProjectPhasesLimited</vt:lpstr>
      <vt:lpstr>StudyId</vt:lpstr>
      <vt:lpstr>StudyProjectPhase</vt:lpstr>
      <vt:lpstr>TAB269022215</vt:lpstr>
      <vt:lpstr>TAB389210675</vt:lpstr>
      <vt:lpstr>TAB681493274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donatas</dc:creator>
  <cp:lastModifiedBy>donatas</cp:lastModifiedBy>
  <dcterms:created xsi:type="dcterms:W3CDTF">2017-07-11T12:22:43Z</dcterms:created>
  <dcterms:modified xsi:type="dcterms:W3CDTF">2018-06-05T16:39:53Z</dcterms:modified>
</cp:coreProperties>
</file>